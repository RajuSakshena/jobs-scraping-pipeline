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0" customWidth="1" min="3" max="3"/>
    <col width="35" customWidth="1" min="4" max="4"/>
    <col width="22" customWidth="1" min="5" max="5"/>
    <col width="45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Matched_Vertical</t>
        </is>
      </c>
      <c r="E1" s="1" t="inlineStr">
        <is>
          <t>Posting_Date</t>
        </is>
      </c>
      <c r="F1" s="1" t="inlineStr">
        <is>
          <t>Apply_Link</t>
        </is>
      </c>
    </row>
    <row r="2" ht="80" customHeight="1">
      <c r="A2" s="2" t="inlineStr">
        <is>
          <t>ESTM</t>
        </is>
      </c>
      <c r="B2" s="2" t="inlineStr">
        <is>
          <t>Project Associate - Finance and Admin (Open to external applicants)</t>
        </is>
      </c>
      <c r="C2" s="2" t="inlineStr"/>
      <c r="D2" s="2" t="inlineStr"/>
      <c r="E2" s="2" t="inlineStr">
        <is>
          <t>29/12/2025</t>
        </is>
      </c>
      <c r="F2" s="2">
        <f>HYPERLINK("https://estm.fa.em2.oraclecloud.com/hcmUI/CandidateExperience/en/sites/CX_1/job/28247/?location=India&amp;locationId=300000000440677&amp;locationLevel=country&amp;mode=location", "Apply")</f>
        <v/>
      </c>
    </row>
    <row r="3" ht="80" customHeight="1">
      <c r="A3" s="2" t="inlineStr">
        <is>
          <t>ESTM</t>
        </is>
      </c>
      <c r="B3" s="2" t="inlineStr">
        <is>
          <t>Data Analytics and Strategic Insights Analyst</t>
        </is>
      </c>
      <c r="C3" s="2" t="inlineStr"/>
      <c r="D3" s="2" t="inlineStr"/>
      <c r="E3" s="2" t="inlineStr">
        <is>
          <t>29/12/2025</t>
        </is>
      </c>
      <c r="F3" s="2">
        <f>HYPERLINK("https://estm.fa.em2.oraclecloud.com/hcmUI/CandidateExperience/en/sites/CX_1/job/31017/?location=India&amp;locationId=300000000440677&amp;locationLevel=country&amp;mode=location", "Apply")</f>
        <v/>
      </c>
    </row>
    <row r="4" ht="80" customHeight="1">
      <c r="A4" s="2" t="inlineStr">
        <is>
          <t>C40</t>
        </is>
      </c>
      <c r="B4" s="2" t="inlineStr">
        <is>
          <t>Priority Initiatives and Events Manager, C40 and GCOM</t>
        </is>
      </c>
      <c r="C4" s="2" t="inlineStr">
        <is>
          <t>Governance &amp; Executive Engagement - Johannesburg, London, Rio de Janeiro &amp; United States (Hybrid)</t>
        </is>
      </c>
      <c r="D4" s="2" t="inlineStr">
        <is>
          <t>Governance</t>
        </is>
      </c>
      <c r="E4" s="2" t="inlineStr"/>
      <c r="F4" s="2">
        <f>HYPERLINK("https://c40.bamboohr.com/careers/684", "Priority Initiatives and Events Manager, C40 and GCOM")</f>
        <v/>
      </c>
    </row>
    <row r="5" ht="80" customHeight="1">
      <c r="A5" s="2" t="inlineStr">
        <is>
          <t>C40</t>
        </is>
      </c>
      <c r="B5" s="2" t="inlineStr">
        <is>
          <t>Climate Resilience Advisor, Jakarta</t>
        </is>
      </c>
      <c r="C5" s="2" t="inlineStr">
        <is>
          <t>Regions and Mayoral Engagement - Jakarta</t>
        </is>
      </c>
      <c r="D5" s="2" t="inlineStr">
        <is>
          <t>Climate</t>
        </is>
      </c>
      <c r="E5" s="2" t="inlineStr"/>
      <c r="F5" s="2">
        <f>HYPERLINK("https://c40.bamboohr.com/careers/686", "Climate Resilience Advisor, Jakarta")</f>
        <v/>
      </c>
    </row>
    <row r="6" ht="80" customHeight="1">
      <c r="A6" s="2" t="inlineStr">
        <is>
          <t>C40</t>
        </is>
      </c>
      <c r="B6" s="2" t="inlineStr">
        <is>
          <t>Climate Resilience Advisor, Quezon City</t>
        </is>
      </c>
      <c r="C6" s="2" t="inlineStr">
        <is>
          <t>Regions and Mayoral Engagement - Quezon City</t>
        </is>
      </c>
      <c r="D6" s="2" t="inlineStr">
        <is>
          <t>Climate</t>
        </is>
      </c>
      <c r="E6" s="2" t="inlineStr"/>
      <c r="F6" s="2">
        <f>HYPERLINK("https://c40.bamboohr.com/careers/687", "Climate Resilience Advisor, Quezon City")</f>
        <v/>
      </c>
    </row>
    <row r="7" ht="80" customHeight="1">
      <c r="A7" s="2" t="inlineStr">
        <is>
          <t>C40</t>
        </is>
      </c>
      <c r="B7" s="2" t="inlineStr">
        <is>
          <t>Consultant - Climate Resilience Advisor, Freetown</t>
        </is>
      </c>
      <c r="C7" s="2" t="inlineStr">
        <is>
          <t>Regions and Mayoral Engagement - Freetown</t>
        </is>
      </c>
      <c r="D7" s="2" t="inlineStr">
        <is>
          <t>Climate</t>
        </is>
      </c>
      <c r="E7" s="2" t="inlineStr"/>
      <c r="F7" s="2">
        <f>HYPERLINK("https://c40.bamboohr.com/careers/688", "Consultant - Climate Resilience Advisor, Freetown")</f>
        <v/>
      </c>
    </row>
    <row r="8" ht="80" customHeight="1">
      <c r="A8" s="2" t="inlineStr">
        <is>
          <t>C40</t>
        </is>
      </c>
      <c r="B8" s="2" t="inlineStr">
        <is>
          <t>Manager, Urban Planning Accelerator</t>
        </is>
      </c>
      <c r="C8" s="2" t="inlineStr">
        <is>
          <t>Climate Solutions and Networks - Colombia, Indonesia, Malaysia &amp; Philippines (Hybrid)</t>
        </is>
      </c>
      <c r="D8" s="2" t="inlineStr">
        <is>
          <t>Climate</t>
        </is>
      </c>
      <c r="E8" s="2" t="inlineStr"/>
      <c r="F8" s="2">
        <f>HYPERLINK("https://c40.bamboohr.com/careers/691", "Manager, Urban Planning Accelerator")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2026-01-09T05:19:25Z</dcterms:created>
  <dcterms:modified xmlns:dcterms="http://purl.org/dc/terms/" xmlns:xsi="http://www.w3.org/2001/XMLSchema-instance" xsi:type="dcterms:W3CDTF">2026-01-09T05:19:25Z</dcterms:modified>
</cp:coreProperties>
</file>