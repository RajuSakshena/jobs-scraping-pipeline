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0" customWidth="1" min="1" max="1"/>
    <col width="55" customWidth="1" min="2" max="2"/>
    <col width="120" customWidth="1" min="3" max="3"/>
    <col width="35" customWidth="1" min="4" max="4"/>
    <col width="22" customWidth="1" min="5" max="5"/>
    <col width="45" customWidth="1" min="6" max="6"/>
  </cols>
  <sheetData>
    <row r="1">
      <c r="A1" t="inlineStr">
        <is>
          <t>Source</t>
        </is>
      </c>
      <c r="B1" t="inlineStr">
        <is>
          <t>Title</t>
        </is>
      </c>
      <c r="C1" t="inlineStr">
        <is>
          <t>Description</t>
        </is>
      </c>
      <c r="D1" t="inlineStr">
        <is>
          <t>Matched_Vertical</t>
        </is>
      </c>
      <c r="E1" t="inlineStr">
        <is>
          <t>Posting_Date</t>
        </is>
      </c>
      <c r="F1" t="inlineStr">
        <is>
          <t>Apply_Link</t>
        </is>
      </c>
    </row>
    <row r="2" ht="80" customHeight="1">
      <c r="A2" s="1" t="inlineStr">
        <is>
          <t>ESTM</t>
        </is>
      </c>
      <c r="B2" s="1" t="inlineStr">
        <is>
          <t>Specialist – Operations, Fund Risk Management and Oversight (Open to all applicants)</t>
        </is>
      </c>
      <c r="C2" s="1" t="inlineStr"/>
      <c r="D2" s="1" t="inlineStr"/>
      <c r="E2" s="1" t="inlineStr">
        <is>
          <t>02/04/2026</t>
        </is>
      </c>
      <c r="F2" s="1">
        <f>HYPERLINK("https://estm.fa.em2.oraclecloud.com/hcmUI/CandidateExperience/en/sites/CX_1/job/28371/?location=India&amp;locationId=300000000440677&amp;locationLevel=country&amp;mode=location", "Apply")</f>
        <v/>
      </c>
    </row>
    <row r="3" ht="80" customHeight="1">
      <c r="A3" s="1" t="inlineStr">
        <is>
          <t>C40</t>
        </is>
      </c>
      <c r="B3" s="1" t="inlineStr">
        <is>
          <t>Knowledge Officer, C40 Cities Finance Facility (CFF)</t>
        </is>
      </c>
      <c r="C3" s="1" t="inlineStr">
        <is>
          <t>Climate Finance, Knowledge and Partnerships - Belgium, Colombia, Denmark, Kenya, South Africa, &amp; UK (Hybrid)</t>
        </is>
      </c>
      <c r="D3" s="1" t="inlineStr">
        <is>
          <t>Climate</t>
        </is>
      </c>
      <c r="E3" s="1" t="inlineStr"/>
      <c r="F3" s="1">
        <f>HYPERLINK("https://c40.bamboohr.com/careers/697", "Knowledge Officer, C40 Cities Finance Facility (CFF)")</f>
        <v/>
      </c>
    </row>
    <row r="4" ht="80" customHeight="1">
      <c r="A4" s="1" t="inlineStr">
        <is>
          <t>C40</t>
        </is>
      </c>
      <c r="B4" s="1" t="inlineStr">
        <is>
          <t>Senior Manager, Data Systems, Regions and Partnerships</t>
        </is>
      </c>
      <c r="C4" s="1" t="inlineStr">
        <is>
          <t>Global Covenant of Mayors - South Africa, United Kingdom</t>
        </is>
      </c>
      <c r="D4" s="1" t="inlineStr">
        <is>
          <t>Governance</t>
        </is>
      </c>
      <c r="E4" s="1" t="inlineStr"/>
      <c r="F4" s="1">
        <f>HYPERLINK("https://c40.bamboohr.com/careers/698", "Senior Manager, Data Systems, Regions and Partnerships")</f>
        <v/>
      </c>
    </row>
    <row r="5" ht="80" customHeight="1">
      <c r="A5" s="1" t="inlineStr">
        <is>
          <t>C40</t>
        </is>
      </c>
      <c r="B5" s="1" t="inlineStr">
        <is>
          <t>Programme Officer, C40 Cities Finance Facility (CFF)</t>
        </is>
      </c>
      <c r="C5" s="1" t="inlineStr">
        <is>
          <t>Climate Finance, Knowledge and Partnerships - Belgium, Colombia, Denmark, Kenya, South Africa, &amp; UK (Hybrid)</t>
        </is>
      </c>
      <c r="D5" s="1" t="inlineStr">
        <is>
          <t>Climate</t>
        </is>
      </c>
      <c r="E5" s="1" t="inlineStr"/>
      <c r="F5" s="1">
        <f>HYPERLINK("https://c40.bamboohr.com/careers/699", "Programme Officer, C40 Cities Finance Facility (CFF)")</f>
        <v/>
      </c>
    </row>
    <row r="6" ht="80" customHeight="1">
      <c r="A6" s="1" t="inlineStr">
        <is>
          <t>C40</t>
        </is>
      </c>
      <c r="B6" s="1" t="inlineStr">
        <is>
          <t>Operations Manager, GCoM</t>
        </is>
      </c>
      <c r="C6" s="1" t="inlineStr">
        <is>
          <t>Global Covenant of Mayors - Belgium, UK</t>
        </is>
      </c>
      <c r="D6" s="1" t="inlineStr">
        <is>
          <t>N/A</t>
        </is>
      </c>
      <c r="E6" s="1" t="inlineStr"/>
      <c r="F6" s="1">
        <f>HYPERLINK("https://c40.bamboohr.com/careers/700", "Operations Manager, GCoM")</f>
        <v/>
      </c>
    </row>
    <row r="7" ht="80" customHeight="1">
      <c r="A7" s="1" t="inlineStr">
        <is>
          <t>C40</t>
        </is>
      </c>
      <c r="B7" s="1" t="inlineStr">
        <is>
          <t>IT Helpdesk Technician (Paternity Cover)</t>
        </is>
      </c>
      <c r="C7" s="1" t="inlineStr">
        <is>
          <t>Corporate Services - Copenhagen</t>
        </is>
      </c>
      <c r="D7" s="1" t="inlineStr">
        <is>
          <t>N/A</t>
        </is>
      </c>
      <c r="E7" s="1" t="inlineStr"/>
      <c r="F7" s="1">
        <f>HYPERLINK("https://c40.bamboohr.com/careers/701", "IT Helpdesk Technician (Paternity Cover)")</f>
        <v/>
      </c>
    </row>
    <row r="8" ht="80" customHeight="1">
      <c r="A8" s="1" t="inlineStr">
        <is>
          <t>C40</t>
        </is>
      </c>
      <c r="B8" s="1" t="inlineStr">
        <is>
          <t>Head of Regional Coordination, GCoM</t>
        </is>
      </c>
      <c r="C8" s="1" t="inlineStr">
        <is>
          <t>Global Covenant of Mayors - Brussels, London, Johannesburg, Rio de Janeiro</t>
        </is>
      </c>
      <c r="D8" s="1" t="inlineStr">
        <is>
          <t>N/A</t>
        </is>
      </c>
      <c r="E8" s="1" t="inlineStr"/>
      <c r="F8" s="1">
        <f>HYPERLINK("https://c40.bamboohr.com/careers/702", "Head of Regional Coordination, GCoM")</f>
        <v/>
      </c>
    </row>
    <row r="9" ht="80" customHeight="1">
      <c r="A9" s="1" t="inlineStr">
        <is>
          <t>C40</t>
        </is>
      </c>
      <c r="B9" s="1" t="inlineStr">
        <is>
          <t>Manager, Adaptation Finance</t>
        </is>
      </c>
      <c r="C9" s="1" t="inlineStr">
        <is>
          <t>Climate Finance, Knowledge and Partnerships - Kenya, South Africa</t>
        </is>
      </c>
      <c r="D9" s="1" t="inlineStr">
        <is>
          <t>Climate</t>
        </is>
      </c>
      <c r="E9" s="1" t="inlineStr"/>
      <c r="F9" s="1">
        <f>HYPERLINK("https://c40.bamboohr.com/careers/703", "Manager, Adaptation Finance")</f>
        <v/>
      </c>
    </row>
    <row r="10" ht="80" customHeight="1">
      <c r="A10" s="1" t="inlineStr">
        <is>
          <t>DevelopmentAid</t>
        </is>
      </c>
      <c r="B10" s="1" t="inlineStr">
        <is>
          <t>Ausbau Erneuerbarer Energien / Expansion of renewable energies</t>
        </is>
      </c>
      <c r="C10" s="1" t="inlineStr"/>
      <c r="D10" s="1" t="inlineStr">
        <is>
          <t>Climate</t>
        </is>
      </c>
      <c r="E10" s="1" t="inlineStr"/>
      <c r="F10" s="1">
        <f>HYPERLINK("https://www.developmentaid.org/tenders/view/1609019/ausbau-erneuerbarer-energien-expansion-of-renewable-energies", "Apply")</f>
        <v/>
      </c>
    </row>
    <row r="11" ht="80" customHeight="1">
      <c r="A11" s="1" t="inlineStr">
        <is>
          <t>DevelopmentAid</t>
        </is>
      </c>
      <c r="B11" s="1" t="inlineStr">
        <is>
          <t>Integrated Urban Climate Action for Low-Carbon &amp; Resilient Cities (Urban-Act)</t>
        </is>
      </c>
      <c r="C11" s="1" t="inlineStr"/>
      <c r="D11" s="1" t="inlineStr">
        <is>
          <t>Climate</t>
        </is>
      </c>
      <c r="E11" s="1" t="inlineStr"/>
      <c r="F11" s="1">
        <f>HYPERLINK("https://www.developmentaid.org/tenders/view/1608947/integrated-urban-climate-action-for-low-carbon-resilient-cities-urban-act", "Apply")</f>
        <v/>
      </c>
    </row>
    <row r="12" ht="80" customHeight="1">
      <c r="A12" s="1" t="inlineStr">
        <is>
          <t>DevelopmentAid</t>
        </is>
      </c>
      <c r="B12" s="1" t="inlineStr">
        <is>
          <t>Integrated Project for Source Sustainability and Climate Resilient Rain-fed Agriculture in Himachal: Drainage line treatment by constructing dry stone check barriers in project GP,s of Sirmour Distt.</t>
        </is>
      </c>
      <c r="C12" s="1" t="inlineStr"/>
      <c r="D12" s="1" t="inlineStr">
        <is>
          <t>Climate</t>
        </is>
      </c>
      <c r="E12" s="1" t="inlineStr"/>
      <c r="F12" s="1">
        <f>HYPERLINK("https://www.developmentaid.org/tenders/view/1608977/integrated-project-for-source-sustainability-and-climate-resilient-rain-fed-agriculture-in-himachal", "Apply")</f>
        <v/>
      </c>
    </row>
    <row r="13" ht="80" customHeight="1">
      <c r="A13" s="1" t="inlineStr">
        <is>
          <t>DevelopmentAid</t>
        </is>
      </c>
      <c r="B13" s="1" t="inlineStr">
        <is>
          <t>Integrated Project for Source Sustainability and Climate Resilient Rain-fed Agriculture in Himachal: Drainage line treatment by constructing crate wire check barriers in project GP,s of Sirmour Distt.</t>
        </is>
      </c>
      <c r="C13" s="1" t="inlineStr"/>
      <c r="D13" s="1" t="inlineStr">
        <is>
          <t>Climate</t>
        </is>
      </c>
      <c r="E13" s="1" t="inlineStr"/>
      <c r="F13" s="1">
        <f>HYPERLINK("https://www.developmentaid.org/tenders/view/1579382/integrated-project-for-source-sustainability-and-climate-resilient-rain-fed-agriculture-in-himachal", "Apply")</f>
        <v/>
      </c>
    </row>
    <row r="14" ht="80" customHeight="1">
      <c r="A14" s="1" t="inlineStr">
        <is>
          <t>DevelopmentAid</t>
        </is>
      </c>
      <c r="B14" s="1" t="inlineStr">
        <is>
          <t>TA-9849 IND: TA 9849-IND: India Urban and Water Projects Support Facility (53067-002) - Environment Safeguards Expert (53067-002)</t>
        </is>
      </c>
      <c r="C14" s="1" t="inlineStr"/>
      <c r="D14" s="1" t="inlineStr">
        <is>
          <t>Climate</t>
        </is>
      </c>
      <c r="E14" s="1" t="inlineStr"/>
      <c r="F14" s="1">
        <f>HYPERLINK("https://www.developmentaid.org/tenders/view/1608441/ta-9849-ind-ta-9849-ind-india-urban-and-water-projects-support-facility-53067-002-environment-safegu", "Apply")</f>
        <v/>
      </c>
    </row>
    <row r="15" ht="80" customHeight="1">
      <c r="A15" s="1" t="inlineStr">
        <is>
          <t>DevelopmentAid</t>
        </is>
      </c>
      <c r="B15" s="1" t="inlineStr">
        <is>
          <t>TA-10721 IND: Support for Development of Sustainable Metro Rail Projects for Nagpur Metro Rail Project (Phase 2) - B/CS-1 Consulting services to design and develop a large battery storage system of 8 MW per day capacity and undertake technology demonstration pilot projects at two locations with 15 years of operation and (59279-001)</t>
        </is>
      </c>
      <c r="C15" s="1" t="inlineStr"/>
      <c r="D15" s="1" t="inlineStr">
        <is>
          <t>Governance, Learning</t>
        </is>
      </c>
      <c r="E15" s="1" t="inlineStr"/>
      <c r="F15" s="1">
        <f>HYPERLINK("https://www.developmentaid.org/tenders/view/1608429/ta-10721-ind-support-for-development-of-sustainable-metro-rail-projects-for-nagpur-metro-rail-projec", "Apply")</f>
        <v/>
      </c>
    </row>
    <row r="16" ht="80" customHeight="1">
      <c r="A16" s="1" t="inlineStr">
        <is>
          <t>DevelopmentAid</t>
        </is>
      </c>
      <c r="B16" s="1" t="inlineStr">
        <is>
          <t>81322849 - Capacity development and organisational support for convergent implementation of measures to improve water security in rural India</t>
        </is>
      </c>
      <c r="C16" s="1" t="inlineStr"/>
      <c r="D16" s="1" t="inlineStr">
        <is>
          <t>Governance, Learning, Safety</t>
        </is>
      </c>
      <c r="E16" s="1" t="inlineStr"/>
      <c r="F16" s="1">
        <f>HYPERLINK("https://www.developmentaid.org/tenders/view/1593414/81322849-capacity-development-and-organisational-support-for-convergent-implementation-of-measures-t", "Apply")</f>
        <v/>
      </c>
    </row>
    <row r="17" ht="80" customHeight="1">
      <c r="A17" s="1" t="inlineStr">
        <is>
          <t>DevelopmentAid</t>
        </is>
      </c>
      <c r="B17" s="1" t="inlineStr">
        <is>
          <t>Consulting, Feasibility Study (Climate Resilience and Ecosystem Services in Forest Landscapes)</t>
        </is>
      </c>
      <c r="C17" s="1" t="inlineStr"/>
      <c r="D17" s="1" t="inlineStr">
        <is>
          <t>Governance, Climate</t>
        </is>
      </c>
      <c r="E17" s="1" t="inlineStr"/>
      <c r="F17" s="1">
        <f>HYPERLINK("https://www.developmentaid.org/tenders/view/1608627/consulting-feasibility-study-climate-resilience-and-ecosystem-services-in-forest-landscapes", "Apply")</f>
        <v/>
      </c>
    </row>
    <row r="18" ht="80" customHeight="1">
      <c r="A18" s="1" t="inlineStr">
        <is>
          <t>DevelopmentAid</t>
        </is>
      </c>
      <c r="B18" s="1" t="inlineStr">
        <is>
          <t>LOAN-4322 IND: Enhancing Connectivity and Sustainability in Bihar Roads Project - 1 Expression of Interest for procurement of services for survey, data collection, design, development, implementation, operation and maintenance of road asset management system (54364-001)</t>
        </is>
      </c>
      <c r="C18" s="1" t="inlineStr"/>
      <c r="D18" s="1" t="inlineStr">
        <is>
          <t>Governance, Learning, Climate</t>
        </is>
      </c>
      <c r="E18" s="1" t="inlineStr"/>
      <c r="F18" s="1">
        <f>HYPERLINK("https://www.developmentaid.org/tenders/view/1605060/loan-4322-ind-enhancing-connectivity-and-sustainability-in-bihar-roads-project-1-expression-of-inter", "Apply")</f>
        <v/>
      </c>
    </row>
    <row r="19" ht="80" customHeight="1">
      <c r="A19" s="1" t="inlineStr">
        <is>
          <t>DevelopmentAid</t>
        </is>
      </c>
      <c r="B19" s="1" t="inlineStr">
        <is>
          <t>TA-10469 IND: Knowledge and Capacity Building for Catalyzing Green Growth and Strengthening Climate Resilience - Climate Risk Assessment and Bamboo Resource Mapping for Climate Strategies and Agriculture Investment Planning in Maharashtra, India (58389-001)</t>
        </is>
      </c>
      <c r="C19" s="1" t="inlineStr"/>
      <c r="D19" s="1" t="inlineStr">
        <is>
          <t>Governance, Climate</t>
        </is>
      </c>
      <c r="E19" s="1" t="inlineStr"/>
      <c r="F19" s="1">
        <f>HYPERLINK("https://www.developmentaid.org/tenders/view/1603067/ta-10469-ind-knowledge-and-capacity-building-for-catalyzing-green-growth-and-strengthening-climate-r", "Apply")</f>
        <v/>
      </c>
    </row>
    <row r="20" ht="80" customHeight="1">
      <c r="A20" s="1" t="inlineStr">
        <is>
          <t>DevelopmentAid</t>
        </is>
      </c>
      <c r="B20" s="1" t="inlineStr">
        <is>
          <t>Expression of Interest for Selection of Business Associate(s) / Partner(s)/ JV / Consortium / partnership, for exploring Consulting / OEM assignments in Middle East, Africa, Europe, India and Southeast Asian Countries.</t>
        </is>
      </c>
      <c r="C20" s="1" t="inlineStr"/>
      <c r="D20" s="1" t="inlineStr">
        <is>
          <t>Governance</t>
        </is>
      </c>
      <c r="E20" s="1" t="inlineStr"/>
      <c r="F20" s="1">
        <f>HYPERLINK("https://www.developmentaid.org/tenders/view/1608411/expression-of-interest-for-selection-of-business-associates-partners-jv-consortium-partnership-for-e", "Apply")</f>
        <v/>
      </c>
    </row>
    <row r="21" ht="80" customHeight="1">
      <c r="A21" s="1" t="inlineStr">
        <is>
          <t>DevelopmentAid</t>
        </is>
      </c>
      <c r="B21" s="1" t="inlineStr">
        <is>
          <t>43253-025 - Karnataka Integrated Urban Water Management Investment Program - Tranche 1</t>
        </is>
      </c>
      <c r="C21" s="1" t="inlineStr"/>
      <c r="D21" s="1" t="inlineStr">
        <is>
          <t>Governance</t>
        </is>
      </c>
      <c r="E21" s="1" t="inlineStr"/>
      <c r="F21" s="1">
        <f>HYPERLINK("https://www.developmentaid.org/tenders/view/1608368/43253-025-karnataka-integrated-urban-water-management-investment-program-tranche-1", "Apply")</f>
        <v/>
      </c>
    </row>
    <row r="22" ht="80" customHeight="1">
      <c r="A22" s="1" t="inlineStr">
        <is>
          <t>DevelopmentAid</t>
        </is>
      </c>
      <c r="B22" s="1" t="inlineStr">
        <is>
          <t>Punjab Municipal Services Improvement Project: Direct RFP for hiring of Agency for Communication, Outreach, Digital Media Management &amp; Stakeholders Engagement in Municipal Corporation Amritsar and Ludhiana under PMSIP</t>
        </is>
      </c>
      <c r="C22" s="1" t="inlineStr"/>
      <c r="D22" s="1" t="inlineStr">
        <is>
          <t>Governance</t>
        </is>
      </c>
      <c r="E22" s="1" t="inlineStr"/>
      <c r="F22" s="1">
        <f>HYPERLINK("https://www.developmentaid.org/tenders/view/1606067/punjab-municipal-services-improvement-project-direct-rfp-for-hiring-of-agency-for-communication-outr", "Apply")</f>
        <v/>
      </c>
    </row>
    <row r="23" ht="80" customHeight="1">
      <c r="A23" s="1" t="inlineStr">
        <is>
          <t>DevelopmentAid</t>
        </is>
      </c>
      <c r="B23" s="1" t="inlineStr">
        <is>
          <t>46166-003 - Supporting Human Capital Development in Meghalaya (Phase 2) Project: Procurement Plan</t>
        </is>
      </c>
      <c r="C23" s="1" t="inlineStr"/>
      <c r="D23" s="1" t="inlineStr">
        <is>
          <t>Learning</t>
        </is>
      </c>
      <c r="E23" s="1" t="inlineStr"/>
      <c r="F23" s="1">
        <f>HYPERLINK("https://www.developmentaid.org/tenders/view/1411799/46166-003-supporting-human-capital-development-in-meghalaya-phase-2-project-procurement-plan", "Apply")</f>
        <v/>
      </c>
    </row>
    <row r="24" ht="80" customHeight="1">
      <c r="A24" s="1" t="inlineStr">
        <is>
          <t>DevelopmentAid</t>
        </is>
      </c>
      <c r="B24" s="1" t="inlineStr">
        <is>
          <t>Construction of Swiss Pavilion for AI Summit as per the design and space provided at Pragati Maidan, New Delhi</t>
        </is>
      </c>
      <c r="C24" s="1" t="inlineStr"/>
      <c r="D24" s="1" t="inlineStr">
        <is>
          <t>Learning</t>
        </is>
      </c>
      <c r="E24" s="1" t="inlineStr"/>
      <c r="F24" s="1">
        <f>HYPERLINK("https://www.developmentaid.org/tenders/view/1608266/construction-of-swiss-pavilion-for-ai-summit-as-per-the-design-and-space-provided-at-pragati-maidan-", "Apply")</f>
        <v/>
      </c>
    </row>
    <row r="25" ht="80" customHeight="1">
      <c r="A25" s="1" t="inlineStr">
        <is>
          <t>DevelopmentAid</t>
        </is>
      </c>
      <c r="B25" s="1" t="inlineStr">
        <is>
          <t>P168310 - State of Maharashtra's Agribusiness and Rural Transformation Project - Procurement Plan (Project Coordination Management Unit (PCMU-SMART))</t>
        </is>
      </c>
      <c r="C25" s="1" t="inlineStr"/>
      <c r="D25" s="1" t="inlineStr">
        <is>
          <t>Governance</t>
        </is>
      </c>
      <c r="E25" s="1" t="inlineStr"/>
      <c r="F25" s="1">
        <f>HYPERLINK("https://www.developmentaid.org/tenders/view/435581/india-south-asia-p168310-state-of-maharashtras-agribusiness-and-rural-transformation-project-procure", "Apply")</f>
        <v/>
      </c>
    </row>
    <row r="26" ht="80" customHeight="1">
      <c r="A26" s="1" t="inlineStr">
        <is>
          <t>DevelopmentAid</t>
        </is>
      </c>
      <c r="B26" s="1" t="inlineStr">
        <is>
          <t>TA-6822 IND: Support for Strengthening Multimodal and Integrated Logistics Ecosystem - Development of Sectoral Plan for Efficient Logistics (SPEL) for Wheat, Rice and Millets under Public Distribution System - Agri-market Assessment Expert (55154-002)</t>
        </is>
      </c>
      <c r="C26" s="1" t="inlineStr"/>
      <c r="D26" s="1" t="inlineStr">
        <is>
          <t>Governance, Learning</t>
        </is>
      </c>
      <c r="E26" s="1" t="inlineStr"/>
      <c r="F26" s="1">
        <f>HYPERLINK("https://www.developmentaid.org/tenders/view/1607893/ta-6822-ind-support-for-strengthening-multimodal-and-integrated-logistics-ecosystem-development-of-s", "Apply")</f>
        <v/>
      </c>
    </row>
    <row r="27" ht="80" customHeight="1">
      <c r="A27" s="1" t="inlineStr">
        <is>
          <t>DevelopmentAid</t>
        </is>
      </c>
      <c r="B27" s="1" t="inlineStr">
        <is>
          <t>TA-6822 IND: Support for Strengthening Multimodal and Integrated Logistics Ecosystem - Development of Sectoral Plan for Efficient Logistics (SPEL) for Wheat Rice and Millets under Public Distribution System - Transport Sector Expert (55154-002)</t>
        </is>
      </c>
      <c r="C27" s="1" t="inlineStr"/>
      <c r="D27" s="1" t="inlineStr">
        <is>
          <t>Governance, Learning, Safety</t>
        </is>
      </c>
      <c r="E27" s="1" t="inlineStr"/>
      <c r="F27" s="1">
        <f>HYPERLINK("https://www.developmentaid.org/tenders/view/1607892/ta-6822-ind-support-for-strengthening-multimodal-and-integrated-logistics-ecosystem-development-of-s", "Apply")</f>
        <v/>
      </c>
    </row>
    <row r="28" ht="80" customHeight="1">
      <c r="A28" s="1" t="inlineStr">
        <is>
          <t>DevelopmentAid</t>
        </is>
      </c>
      <c r="B28" s="1" t="inlineStr">
        <is>
          <t>TA-9950 REG: PF: Data Science Expert - PF: Data Scientist PF: Data Science Expert (54079-001)</t>
        </is>
      </c>
      <c r="C28" s="1" t="inlineStr"/>
      <c r="D28" s="1" t="inlineStr">
        <is>
          <t>Governance</t>
        </is>
      </c>
      <c r="E28" s="1" t="inlineStr"/>
      <c r="F28" s="1">
        <f>HYPERLINK("https://www.developmentaid.org/tenders/view/1607886/ta-9950-reg-pf-data-science-expert-pf-data-scientist-pf-data-science-expert-54079-001", "Apply")</f>
        <v/>
      </c>
    </row>
    <row r="29" ht="80" customHeight="1">
      <c r="A29" s="1" t="inlineStr">
        <is>
          <t>DevelopmentAid</t>
        </is>
      </c>
      <c r="B29" s="1" t="inlineStr">
        <is>
          <t>LOAN-4623 IND: Assam Urban Sector Development Project - AUSDP/CS/COM Community Mobilization Consultant (CMC) (57262-001)</t>
        </is>
      </c>
      <c r="C29" s="1" t="inlineStr"/>
      <c r="D29" s="1" t="inlineStr">
        <is>
          <t>Governance, Learning</t>
        </is>
      </c>
      <c r="E29" s="1" t="inlineStr"/>
      <c r="F29" s="1">
        <f>HYPERLINK("https://www.developmentaid.org/tenders/view/1607884/loan-4623-ind-assam-urban-sector-development-project-ausdpcscom-community-mobilization-consultant-cm", "Apply")</f>
        <v/>
      </c>
    </row>
    <row r="30" ht="80" customHeight="1">
      <c r="A30" s="1" t="inlineStr">
        <is>
          <t>DevelopmentAid</t>
        </is>
      </c>
      <c r="B30" s="1" t="inlineStr">
        <is>
          <t>TA-10488 REG: City Resilience, Affordable Housing, Sustainable Tourism, and Inclusive Economic Growth for Livable Cities - Structural Engineer (58349-002)</t>
        </is>
      </c>
      <c r="C30" s="1" t="inlineStr"/>
      <c r="D30" s="1" t="inlineStr">
        <is>
          <t>Climate</t>
        </is>
      </c>
      <c r="E30" s="1" t="inlineStr"/>
      <c r="F30" s="1">
        <f>HYPERLINK("https://www.developmentaid.org/tenders/view/1605066/ta-10488-reg-city-resilience-affordable-housing-sustainable-tourism-and-inclusive-economic-growth-fo", "Apply")</f>
        <v/>
      </c>
    </row>
    <row r="31" ht="80" customHeight="1">
      <c r="A31" s="1" t="inlineStr">
        <is>
          <t>DevelopmentAid</t>
        </is>
      </c>
      <c r="B31" s="1" t="inlineStr">
        <is>
          <t>Hiring of Event Management Agency For organisation of Two Workshops for the ILO in February 2026 in Bangalore</t>
        </is>
      </c>
      <c r="C31" s="1" t="inlineStr"/>
      <c r="D31" s="1" t="inlineStr">
        <is>
          <t>Governance</t>
        </is>
      </c>
      <c r="E31" s="1" t="inlineStr"/>
      <c r="F31" s="1">
        <f>HYPERLINK("https://www.developmentaid.org/tenders/view/1608036/hiring-of-event-management-agency-for-organisation-of-two-workshops-for-the-ilo-in-february-2026-in", "Apply")</f>
        <v/>
      </c>
    </row>
    <row r="32" ht="80" customHeight="1">
      <c r="A32" s="1" t="inlineStr">
        <is>
          <t>DevelopmentAid</t>
        </is>
      </c>
      <c r="B32" s="1" t="inlineStr">
        <is>
          <t>Punjab Outcomes-Acceleration In School Education Operation - P500564</t>
        </is>
      </c>
      <c r="C32" s="1" t="inlineStr"/>
      <c r="D32" s="1" t="inlineStr">
        <is>
          <t>Learning</t>
        </is>
      </c>
      <c r="E32" s="1" t="inlineStr"/>
      <c r="F32" s="1">
        <f>HYPERLINK("https://www.developmentaid.org/tenders/view/1335085/punjab-outcomes-acceleration-in-school-education-operation-p500564", "Apply")</f>
        <v/>
      </c>
    </row>
    <row r="33" ht="80" customHeight="1">
      <c r="A33" s="1" t="inlineStr">
        <is>
          <t>DevelopmentAid</t>
        </is>
      </c>
      <c r="B33" s="1" t="inlineStr">
        <is>
          <t>Strengthening Coastal Resilience and the Economy Project: Consultancy Service for Supervision of Construction of Turtle, Dugong &amp; Mangrove and International Bird Conservation Centre under TN SHORE Project</t>
        </is>
      </c>
      <c r="C33" s="1" t="inlineStr"/>
      <c r="D33" s="1" t="inlineStr">
        <is>
          <t>Governance, Climate</t>
        </is>
      </c>
      <c r="E33" s="1" t="inlineStr"/>
      <c r="F33" s="1">
        <f>HYPERLINK("https://www.developmentaid.org/tenders/view/1607773/strengthening-coastal-resilience-and-the-economy-project-consultancy-service-for-supervision-of-cons", "Apply")</f>
        <v/>
      </c>
    </row>
    <row r="34" ht="80" customHeight="1">
      <c r="A34" s="1" t="inlineStr">
        <is>
          <t>DevelopmentAid</t>
        </is>
      </c>
      <c r="B34" s="1" t="inlineStr">
        <is>
          <t>RFP for for Developing Integrated One Health Portal for enhanced collaborative Surveillance</t>
        </is>
      </c>
      <c r="C34" s="1" t="inlineStr"/>
      <c r="D34" s="1" t="inlineStr">
        <is>
          <t>Safety</t>
        </is>
      </c>
      <c r="E34" s="1" t="inlineStr"/>
      <c r="F34" s="1">
        <f>HYPERLINK("https://www.developmentaid.org/tenders/view/1607851/rfp-for-for-developing-integrated-one-health-portal-for-enhanced-collaborative-s", "Apply")</f>
        <v/>
      </c>
    </row>
    <row r="35" ht="80" customHeight="1">
      <c r="A35" s="1" t="inlineStr">
        <is>
          <t>DevelopmentAid</t>
        </is>
      </c>
      <c r="B35" s="1" t="inlineStr">
        <is>
          <t>Implementation and Operation of FLR Monitoring, Evaluation, and Reporting Frameworks for Forest Landscape Restoration (FLR)</t>
        </is>
      </c>
      <c r="C35" s="1" t="inlineStr"/>
      <c r="D35" s="1" t="inlineStr">
        <is>
          <t>Governance</t>
        </is>
      </c>
      <c r="E35" s="1" t="inlineStr"/>
      <c r="F35" s="1">
        <f>HYPERLINK("https://www.developmentaid.org/tenders/view/1531583/implementation-and-operation-of-flr-monitoring-evaluation-and-reporting-frameworks-for-forest-landsc", "Apply")</f>
        <v/>
      </c>
    </row>
    <row r="36" ht="80" customHeight="1">
      <c r="A36" s="1" t="inlineStr">
        <is>
          <t>DevelopmentAid</t>
        </is>
      </c>
      <c r="B36" s="1" t="inlineStr">
        <is>
          <t>81319406 - Engagement of Agency/Consortium for the 'Global Best Practices and Climate Risk Finance for Heatwave Management</t>
        </is>
      </c>
      <c r="C36" s="1" t="inlineStr"/>
      <c r="D36" s="1" t="inlineStr">
        <is>
          <t>Governance, Climate</t>
        </is>
      </c>
      <c r="E36" s="1" t="inlineStr"/>
      <c r="F36" s="1">
        <f>HYPERLINK("https://www.developmentaid.org/tenders/view/1534310/81319406-engagement-of-agencyconsortium-for-the-global-best-practices-and-climate-risk-finance-for-h", "Apply")</f>
        <v/>
      </c>
    </row>
    <row r="37" ht="80" customHeight="1">
      <c r="A37" s="1" t="inlineStr">
        <is>
          <t>DevelopmentAid</t>
        </is>
      </c>
      <c r="B37" s="1" t="inlineStr">
        <is>
          <t>Renewable Energy Policy Advisory Services and Capacity Development of Government Officials in Indian States</t>
        </is>
      </c>
      <c r="C37" s="1" t="inlineStr"/>
      <c r="D37" s="1" t="inlineStr">
        <is>
          <t>Governance, Learning, Climate</t>
        </is>
      </c>
      <c r="E37" s="1" t="inlineStr"/>
      <c r="F37" s="1">
        <f>HYPERLINK("https://www.developmentaid.org/tenders/view/1528202/renewable-energy-policy-advisory-services-and-capacity-development-of-government-officials-in-indian", "Apply")</f>
        <v/>
      </c>
    </row>
    <row r="38" ht="80" customHeight="1">
      <c r="A38" s="1" t="inlineStr">
        <is>
          <t>DevelopmentAid</t>
        </is>
      </c>
      <c r="B38" s="1" t="inlineStr">
        <is>
          <t>Unterstützung für die Partnerschaft für Grüne und Nachhaltige Entwicklung / Support for the Partnership for Green and Sustainable Development</t>
        </is>
      </c>
      <c r="C38" s="1" t="inlineStr"/>
      <c r="D38" s="1" t="inlineStr">
        <is>
          <t>Learning, Climate</t>
        </is>
      </c>
      <c r="E38" s="1" t="inlineStr"/>
      <c r="F38" s="1">
        <f>HYPERLINK("https://www.developmentaid.org/tenders/view/1607814/unterstutzung-fur-die-partnerschaft-fur-grune-und-nachhaltige-entwicklung-support-for-the-partnershi", "Apply")</f>
        <v/>
      </c>
    </row>
    <row r="39" ht="80" customHeight="1">
      <c r="A39" s="1" t="inlineStr">
        <is>
          <t>DevelopmentAid</t>
        </is>
      </c>
      <c r="B39" s="1" t="inlineStr">
        <is>
          <t>RFP - River Health and Water Dependency Assessment Betwa River Basin</t>
        </is>
      </c>
      <c r="C39" s="1" t="inlineStr"/>
      <c r="D39" s="1" t="inlineStr">
        <is>
          <t>Safety</t>
        </is>
      </c>
      <c r="E39" s="1" t="inlineStr"/>
      <c r="F39" s="1">
        <f>HYPERLINK("https://www.developmentaid.org/tenders/view/1607571/rfp-river-health-and-water-dependency-assessment-betwa-river-basin", "Apply")</f>
        <v/>
      </c>
    </row>
    <row r="40" ht="80" customHeight="1">
      <c r="A40" s="1" t="inlineStr">
        <is>
          <t>DevelopmentAid</t>
        </is>
      </c>
      <c r="B40" s="1" t="inlineStr">
        <is>
          <t>P172213 - Nagaland: Enhancing Classroom Teaching and Resources - Procurement Plan (Department of School Education (DSE))</t>
        </is>
      </c>
      <c r="C40" s="1" t="inlineStr"/>
      <c r="D40" s="1" t="inlineStr">
        <is>
          <t>Learning</t>
        </is>
      </c>
      <c r="E40" s="1" t="inlineStr"/>
      <c r="F40" s="1">
        <f>HYPERLINK("https://www.developmentaid.org/tenders/view/539175/india-south-asia-p172213-nagaland-enhancing-classroom-teaching-and-resources-procurement-plan", "Apply")</f>
        <v/>
      </c>
    </row>
    <row r="41" ht="80" customHeight="1">
      <c r="A41" s="1" t="inlineStr">
        <is>
          <t>DevelopmentAid</t>
        </is>
      </c>
      <c r="B41" s="1" t="inlineStr">
        <is>
          <t>TA-6822 IND: Support for Strengthening Multimodal and Integrated Logistics Ecosystem - Development of Sectoral Plan for Efficient Logistics (SPEL) for Wheat Rice and Millets under Public Distribution System - Logistics Sector Expert (55154-002)</t>
        </is>
      </c>
      <c r="C41" s="1" t="inlineStr"/>
      <c r="D41" s="1" t="inlineStr">
        <is>
          <t>Governance, Learning</t>
        </is>
      </c>
      <c r="E41" s="1" t="inlineStr"/>
      <c r="F41" s="1">
        <f>HYPERLINK("https://www.developmentaid.org/tenders/view/1607502/ta-6822-ind-support-for-strengthening-multimodal-and-integrated-logistics-ecosystem-development-of-s", "Apply")</f>
        <v/>
      </c>
    </row>
    <row r="42" ht="80" customHeight="1">
      <c r="A42" s="1" t="inlineStr">
        <is>
          <t>DevelopmentAid</t>
        </is>
      </c>
      <c r="B42" s="1" t="inlineStr">
        <is>
          <t>Final evaluation of the Market Development Facility Phase 2 (Asia Pacific)</t>
        </is>
      </c>
      <c r="C42" s="1" t="inlineStr"/>
      <c r="D42" s="1" t="inlineStr">
        <is>
          <t>Governance, Learning</t>
        </is>
      </c>
      <c r="E42" s="1" t="inlineStr"/>
      <c r="F42" s="1">
        <f>HYPERLINK("https://www.developmentaid.org/tenders/view/1583551/final-evaluation-of-the-market-development-facility-phase-2-asia-pacific", "Apply")</f>
        <v/>
      </c>
    </row>
    <row r="43" ht="80" customHeight="1">
      <c r="A43" s="1" t="inlineStr">
        <is>
          <t>DevelopmentAid</t>
        </is>
      </c>
      <c r="B43" s="1" t="inlineStr">
        <is>
          <t>Integrated Urban Climate Action for Low-Carbon &amp; Resilient Cities (Urban-Act)</t>
        </is>
      </c>
      <c r="C43" s="1" t="inlineStr"/>
      <c r="D43" s="1" t="inlineStr">
        <is>
          <t>Climate</t>
        </is>
      </c>
      <c r="E43" s="1" t="inlineStr"/>
      <c r="F43" s="1">
        <f>HYPERLINK("https://www.developmentaid.org/tenders/view/1607171/integrated-urban-climate-action-for-low-carbon-resilient-cities-urban-act", "Apply")</f>
        <v/>
      </c>
    </row>
    <row r="44" ht="80" customHeight="1">
      <c r="A44" s="1" t="inlineStr">
        <is>
          <t>DevelopmentAid</t>
        </is>
      </c>
      <c r="B44" s="1" t="inlineStr">
        <is>
          <t>RFP - Audio Quality Annotation of Student Voice Recordings</t>
        </is>
      </c>
      <c r="C44" s="1" t="inlineStr"/>
      <c r="D44" s="1" t="inlineStr">
        <is>
          <t>Learning</t>
        </is>
      </c>
      <c r="E44" s="1" t="inlineStr"/>
      <c r="F44" s="1">
        <f>HYPERLINK("https://www.developmentaid.org/tenders/view/1607022/rfp-audio-quality-annotation-of-student-voice-recordings", "Apply")</f>
        <v/>
      </c>
    </row>
    <row r="45" ht="80" customHeight="1">
      <c r="A45" s="1" t="inlineStr">
        <is>
          <t>DevelopmentAid</t>
        </is>
      </c>
      <c r="B45" s="1" t="inlineStr">
        <is>
          <t>UNICEF Chhattisgarh is seeking manufacturers for the development and production of an innovative feeding tool (Complementary feeding bowl with spoon) to improve the diets of young children in CG</t>
        </is>
      </c>
      <c r="C45" s="1" t="inlineStr"/>
      <c r="D45" s="1" t="inlineStr">
        <is>
          <t>Governance, Learning, Safety</t>
        </is>
      </c>
      <c r="E45" s="1" t="inlineStr"/>
      <c r="F45" s="1">
        <f>HYPERLINK("https://www.developmentaid.org/tenders/view/1607202/unicef-chhattisgarh-is-seeking-manufacturers-for-the-development-and-production-of-an-innovative-fee", "Apply")</f>
        <v/>
      </c>
    </row>
    <row r="46" ht="80" customHeight="1">
      <c r="A46" s="1" t="inlineStr">
        <is>
          <t>DevelopmentAid</t>
        </is>
      </c>
      <c r="B46" s="1" t="inlineStr">
        <is>
          <t>P178418 - Tripura Rural Economic Growth and Service Delivery Project - Procurement Plan (Public Works Department, Roads and Bridges)</t>
        </is>
      </c>
      <c r="C46" s="1" t="inlineStr"/>
      <c r="D46" s="1" t="inlineStr">
        <is>
          <t>Governance</t>
        </is>
      </c>
      <c r="E46" s="1" t="inlineStr"/>
      <c r="F46" s="1">
        <f>HYPERLINK("https://www.developmentaid.org/tenders/view/978729/india-south-asia-p178418-tripura-rural-economic-growth-and-service-delivery-project-public-works-dep", "Apply")</f>
        <v/>
      </c>
    </row>
    <row r="47" ht="80" customHeight="1">
      <c r="A47" s="1" t="inlineStr">
        <is>
          <t>DevelopmentAid</t>
        </is>
      </c>
      <c r="B47" s="1" t="inlineStr">
        <is>
          <t>P178418- Tripura Rural Economic Growth and Service Delivery Project- Procurement Plan  (Samagra Shiksha Abhiyan (Education))</t>
        </is>
      </c>
      <c r="C47" s="1" t="inlineStr"/>
      <c r="D47" s="1" t="inlineStr">
        <is>
          <t>Learning</t>
        </is>
      </c>
      <c r="E47" s="1" t="inlineStr"/>
      <c r="F47" s="1">
        <f>HYPERLINK("https://www.developmentaid.org/tenders/view/1016520/india-south-asia-p178418-tripura-rural-economic-growth-and-service-delivery-project-samagra-shiksha", "Apply")</f>
        <v/>
      </c>
    </row>
    <row r="48" ht="80" customHeight="1">
      <c r="A48" s="1" t="inlineStr">
        <is>
          <t>DevelopmentAid</t>
        </is>
      </c>
      <c r="B48" s="1" t="inlineStr">
        <is>
          <t>37909-045 - Trade and Supply Chain Finance Capacity Development: Technical Assistance</t>
        </is>
      </c>
      <c r="C48" s="1" t="inlineStr"/>
      <c r="D48" s="1" t="inlineStr">
        <is>
          <t>Governance, Learning</t>
        </is>
      </c>
      <c r="E48" s="1" t="inlineStr"/>
      <c r="F48" s="1">
        <f>HYPERLINK("https://www.developmentaid.org/tenders/view/1584610/37909-045-trade-and-supply-chain-finance-capacity-development-technical-assistance", "Apply")</f>
        <v/>
      </c>
    </row>
    <row r="49" ht="80" customHeight="1">
      <c r="A49" s="1" t="inlineStr">
        <is>
          <t>DevelopmentAid</t>
        </is>
      </c>
      <c r="B49" s="1" t="inlineStr">
        <is>
          <t>Meghalaya Multisectoral Project for Adolescent Wellbeing, Empowerment and Resilience (MPOWER): GD-8/Procurement of Furniture and Electrical Items for Office Setup of SPMU under MPOWER, MBMA</t>
        </is>
      </c>
      <c r="C49" s="1" t="inlineStr"/>
      <c r="D49" s="1" t="inlineStr">
        <is>
          <t>Safety, Climate</t>
        </is>
      </c>
      <c r="E49" s="1" t="inlineStr"/>
      <c r="F49" s="1">
        <f>HYPERLINK("https://www.developmentaid.org/tenders/view/1607091/meghalaya-multisectoral-project-for-adolescent-wellbeing-empowerment-and-resilience-mpower-gd-8procu", "Apply")</f>
        <v/>
      </c>
    </row>
    <row r="50" ht="80" customHeight="1">
      <c r="A50" s="1" t="inlineStr">
        <is>
          <t>DevelopmentAid</t>
        </is>
      </c>
      <c r="B50" s="1" t="inlineStr">
        <is>
          <t>P154990- Jhelum and Tawi Flood Recovery Project - Procurement Plan (Jammu and Kashmir Medical Supplies Corporation Limited)</t>
        </is>
      </c>
      <c r="C50" s="1" t="inlineStr"/>
      <c r="D50" s="1" t="inlineStr">
        <is>
          <t>Climate</t>
        </is>
      </c>
      <c r="E50" s="1" t="inlineStr"/>
      <c r="F50" s="1">
        <f>HYPERLINK("https://www.developmentaid.org/tenders/view/577045/india-south-asia-p154990-jhelum-and-tawi-flood-recovery-project-jammu-and-kashmir-medical-supplies-c", "Apply")</f>
        <v/>
      </c>
    </row>
    <row r="51" ht="80" customHeight="1">
      <c r="A51" s="1" t="inlineStr">
        <is>
          <t>DevelopmentAid</t>
        </is>
      </c>
      <c r="B51" s="1" t="inlineStr">
        <is>
          <t>TA-6822 IND: Support for Strengthening Multimodal and Integrated Logistics Ecosystem - Development of Sectoral Plan for Efficient Logistics (SPEL) for Wheat Rice and Millets under Public Distribution System - Team Leader and Agri Expert (55154-002)</t>
        </is>
      </c>
      <c r="C51" s="1" t="inlineStr"/>
      <c r="D51" s="1" t="inlineStr">
        <is>
          <t>Governance, Learning</t>
        </is>
      </c>
      <c r="E51" s="1" t="inlineStr"/>
      <c r="F51" s="1">
        <f>HYPERLINK("https://www.developmentaid.org/tenders/view/1606567/ta-6822-ind-support-for-strengthening-multimodal-and-integrated-logistics-ecosystem-development-of-s", "Apply")</f>
        <v/>
      </c>
    </row>
    <row r="52" ht="80" customHeight="1">
      <c r="A52" s="1" t="inlineStr">
        <is>
          <t>DevelopmentAid</t>
        </is>
      </c>
      <c r="B52" s="1" t="inlineStr">
        <is>
          <t>RFP - Supply, Installation, Testing, Commissioning and Comprehensive Maintenance of Solar Energy Solutions: Grid Connected Rooftop Solar</t>
        </is>
      </c>
      <c r="C52" s="1" t="inlineStr"/>
      <c r="D52" s="1" t="inlineStr">
        <is>
          <t>Climate</t>
        </is>
      </c>
      <c r="E52" s="1" t="inlineStr"/>
      <c r="F52" s="1">
        <f>HYPERLINK("https://www.developmentaid.org/tenders/view/1606912/rfp-supply-installation-testing-commissioning-and-comprehensive-maintenance-of-solar-energy-solution", "Apply")</f>
        <v/>
      </c>
    </row>
    <row r="53" ht="80" customHeight="1">
      <c r="A53" s="1" t="inlineStr">
        <is>
          <t>DevelopmentAid</t>
        </is>
      </c>
      <c r="B53" s="1" t="inlineStr">
        <is>
          <t>TA-9970 IND: Maharashtra Rural High Voltage Distribution System Expansion Program - Social Sector Expert Social Sector Expert (Green Livelihoods Expert) (50193-003)</t>
        </is>
      </c>
      <c r="C53" s="1" t="inlineStr"/>
      <c r="D53" s="1" t="inlineStr">
        <is>
          <t>Climate</t>
        </is>
      </c>
      <c r="E53" s="1" t="inlineStr"/>
      <c r="F53" s="1">
        <f>HYPERLINK("https://www.developmentaid.org/tenders/view/1606542/ta-9970-ind-maharashtra-rural-high-voltage-distribution-system-expansion-program-social-sector-exper", "Apply")</f>
        <v/>
      </c>
    </row>
    <row r="54" ht="80" customHeight="1">
      <c r="A54" s="1" t="inlineStr">
        <is>
          <t>DevelopmentAid</t>
        </is>
      </c>
      <c r="B54" s="1" t="inlineStr">
        <is>
          <t>57230-001: Sikkim Integrated Urban Development Project: Comprehensive Water Supply &amp; Sanitation Improvement Works including WTP of 6.0 MLD and STP of 3.5, 1.5 MLD, for Rangpo including O&amp;M for 5 years</t>
        </is>
      </c>
      <c r="C54" s="1" t="inlineStr"/>
      <c r="D54" s="1" t="inlineStr">
        <is>
          <t>Learning</t>
        </is>
      </c>
      <c r="E54" s="1" t="inlineStr"/>
      <c r="F54" s="1">
        <f>HYPERLINK("https://www.developmentaid.org/tenders/view/1448434/57230-001-sikkim-integrated-urban-development-project", "Apply")</f>
        <v/>
      </c>
    </row>
    <row r="55" ht="80" customHeight="1">
      <c r="A55" s="1" t="inlineStr">
        <is>
          <t>DevelopmentAid</t>
        </is>
      </c>
      <c r="B55" s="1" t="inlineStr">
        <is>
          <t>57230-001: Sikkim Integrated Urban Development Project: Comprehensive Water Supply &amp; Sanitation Improvement Works, including WTP 4.0, MLD and STP 1.5 MLD, for Pakyong including O&amp;M for 5 years</t>
        </is>
      </c>
      <c r="C55" s="1" t="inlineStr"/>
      <c r="D55" s="1" t="inlineStr">
        <is>
          <t>Learning</t>
        </is>
      </c>
      <c r="E55" s="1" t="inlineStr"/>
      <c r="F55" s="1">
        <f>HYPERLINK("https://www.developmentaid.org/tenders/view/1448435/57230-001-sikkim-integrated-urban-development-project", "Apply")</f>
        <v/>
      </c>
    </row>
    <row r="56" ht="80" customHeight="1">
      <c r="A56" s="1" t="inlineStr">
        <is>
          <t>DevelopmentAid</t>
        </is>
      </c>
      <c r="B56" s="1" t="inlineStr">
        <is>
          <t>57230-001: Sikkim Integrated Urban Development Project: Comprehensive Water Supply &amp; Sanitation Improvement Works including STP of 2.5 MLD, for Singtam including O&amp;M for 5 years</t>
        </is>
      </c>
      <c r="C56" s="1" t="inlineStr"/>
      <c r="D56" s="1" t="inlineStr">
        <is>
          <t>Learning</t>
        </is>
      </c>
      <c r="E56" s="1" t="inlineStr"/>
      <c r="F56" s="1">
        <f>HYPERLINK("https://www.developmentaid.org/tenders/view/1448436/57230-001-sikkim-integrated-urban-development-project", "Apply")</f>
        <v/>
      </c>
    </row>
    <row r="57" ht="80" customHeight="1">
      <c r="A57" s="1" t="inlineStr">
        <is>
          <t>DevelopmentAid</t>
        </is>
      </c>
      <c r="B57" s="1" t="inlineStr">
        <is>
          <t>57262-IND: Assam Urban Sector Development Project: AUSDP/WS/Bongaigaon/01: Construction and Ten-Year Operation and Maintenance of Water Supply Scheme for Bongaigaon Town in Assam</t>
        </is>
      </c>
      <c r="C57" s="1" t="inlineStr"/>
      <c r="D57" s="1" t="inlineStr">
        <is>
          <t>Learning</t>
        </is>
      </c>
      <c r="E57" s="1" t="inlineStr"/>
      <c r="F57" s="1">
        <f>HYPERLINK("https://www.developmentaid.org/tenders/view/1445726/57262-ind-assam-urban-sector-development-project", "Apply")</f>
        <v/>
      </c>
    </row>
    <row r="58" ht="80" customHeight="1">
      <c r="A58" s="1" t="inlineStr">
        <is>
          <t>DevelopmentAid</t>
        </is>
      </c>
      <c r="B58" s="1" t="inlineStr">
        <is>
          <t>57262-IND: Assam Urban Sector Development Project: AUSDP/WS/Goalpara/01: Construction and Ten-Year Operation and Maintenance of Water Supply Scheme for Goalpara Town in Assam</t>
        </is>
      </c>
      <c r="C58" s="1" t="inlineStr"/>
      <c r="D58" s="1" t="inlineStr">
        <is>
          <t>Learning</t>
        </is>
      </c>
      <c r="E58" s="1" t="inlineStr"/>
      <c r="F58" s="1">
        <f>HYPERLINK("https://www.developmentaid.org/tenders/view/1418982/57262-ind-assam-urban-sector-development-project", "Apply")</f>
        <v/>
      </c>
    </row>
    <row r="59" ht="80" customHeight="1">
      <c r="A59" s="1" t="inlineStr">
        <is>
          <t>DevelopmentAid</t>
        </is>
      </c>
      <c r="B59" s="1" t="inlineStr">
        <is>
          <t>57262-IND: Assam Urban Sector Development Project: AUSDP/WS/Barpeta/01: Augmentation with Ten-Year Operation and Maintenance of Water Supply Scheme for Barpeta Town in Assam</t>
        </is>
      </c>
      <c r="C59" s="1" t="inlineStr"/>
      <c r="D59" s="1" t="inlineStr">
        <is>
          <t>Learning</t>
        </is>
      </c>
      <c r="E59" s="1" t="inlineStr"/>
      <c r="F59" s="1">
        <f>HYPERLINK("https://www.developmentaid.org/tenders/view/1404713/57262-ind-assam-urban-sector-development-project", "Apply")</f>
        <v/>
      </c>
    </row>
    <row r="60" ht="80" customHeight="1">
      <c r="A60" s="1" t="inlineStr">
        <is>
          <t>DevelopmentAid</t>
        </is>
      </c>
      <c r="B60" s="1" t="inlineStr">
        <is>
          <t>57262-IND: Assam Urban Sector Development Project: AUSDP/WS/Nalbari/01: Augmentation with Ten-Year Operation and Maintenance of Water Supply Scheme for Nalbari Town in Assam</t>
        </is>
      </c>
      <c r="C60" s="1" t="inlineStr"/>
      <c r="D60" s="1" t="inlineStr">
        <is>
          <t>Learning</t>
        </is>
      </c>
      <c r="E60" s="1" t="inlineStr"/>
      <c r="F60" s="1">
        <f>HYPERLINK("https://www.developmentaid.org/tenders/view/1404712/57262-ind-assam-urban-sector-development-project", "Apply")</f>
        <v/>
      </c>
    </row>
    <row r="61" ht="80" customHeight="1">
      <c r="A61" s="1" t="inlineStr">
        <is>
          <t>DevelopmentAid</t>
        </is>
      </c>
      <c r="B61" s="1" t="inlineStr">
        <is>
          <t>Inclusive, Resilient, and Sustainable Housing for Urban Poor Sector Project in Tamil Nadu: Development of three Working Women Hostels (St. Thomas Mount, Hosur, and Thiruvanamalai) by Tamil Nadu Working Women's Hostels Corporation Limited (53067-004)</t>
        </is>
      </c>
      <c r="C61" s="1" t="inlineStr"/>
      <c r="D61" s="1" t="inlineStr">
        <is>
          <t>Learning, Safety</t>
        </is>
      </c>
      <c r="E61" s="1" t="inlineStr"/>
      <c r="F61" s="1">
        <f>HYPERLINK("https://www.developmentaid.org/tenders/view/1606477/inclusive-resilient-and-sustainable-housing-for-urban-poor-sector-project-in-tamil-nadu-development", "Apply")</f>
        <v/>
      </c>
    </row>
    <row r="62" ht="80" customHeight="1">
      <c r="A62" s="1" t="inlineStr">
        <is>
          <t>DevelopmentAid</t>
        </is>
      </c>
      <c r="B62" s="1" t="inlineStr">
        <is>
          <t>Information gathering and confirmation survey on AI human resource development and ecosystem formation for the global South (QCBS-lump sum type)</t>
        </is>
      </c>
      <c r="C62" s="1" t="inlineStr"/>
      <c r="D62" s="1" t="inlineStr">
        <is>
          <t>Learning</t>
        </is>
      </c>
      <c r="E62" s="1" t="inlineStr"/>
      <c r="F62" s="1">
        <f>HYPERLINK("https://www.developmentaid.org/tenders/view/1600803/information-gathering-and-confirmation-survey-on-ai-human-resource-development-and-ecosystem-formati", "Apply")</f>
        <v/>
      </c>
    </row>
    <row r="63" ht="80" customHeight="1">
      <c r="A63" s="1" t="inlineStr">
        <is>
          <t>DevelopmentAid</t>
        </is>
      </c>
      <c r="B63" s="1" t="inlineStr">
        <is>
          <t>Request For Proposal For Hiring of Technical Partner Agency for Designing, Development and Implementation of AI-Enabled Learning and Knowledge Sharing Platform for ISA</t>
        </is>
      </c>
      <c r="C63" s="1" t="inlineStr"/>
      <c r="D63" s="1" t="inlineStr">
        <is>
          <t>Governance, Learning</t>
        </is>
      </c>
      <c r="E63" s="1" t="inlineStr"/>
      <c r="F63" s="1">
        <f>HYPERLINK("https://www.developmentaid.org/tenders/view/1589295/request-for-proposal-for-hiring-of-technical-partner-agency-for-designing-development-and-implementa", "Apply")</f>
        <v/>
      </c>
    </row>
    <row r="64" ht="80" customHeight="1">
      <c r="A64" s="1" t="inlineStr">
        <is>
          <t>DevelopmentAid</t>
        </is>
      </c>
      <c r="B64" s="1" t="inlineStr">
        <is>
          <t>P168633- Kerala Solid Waste Management Project - Procurement Plan (Suchitwa Mission (State PMU))</t>
        </is>
      </c>
      <c r="C64" s="1" t="inlineStr"/>
      <c r="D64" s="1" t="inlineStr">
        <is>
          <t>Governance, Climate</t>
        </is>
      </c>
      <c r="E64" s="1" t="inlineStr"/>
      <c r="F64" s="1">
        <f>HYPERLINK("https://www.developmentaid.org/tenders/view/738375/india-south-asia-p168633-kerala-solid-waste-management-project-procurement-plan", "Apply")</f>
        <v/>
      </c>
    </row>
    <row r="65" ht="80" customHeight="1">
      <c r="A65" s="1" t="inlineStr">
        <is>
          <t>DevelopmentAid</t>
        </is>
      </c>
      <c r="B65" s="1" t="inlineStr">
        <is>
          <t>RFP - Proposal for Digital Learning Centres – School Program</t>
        </is>
      </c>
      <c r="C65" s="1" t="inlineStr"/>
      <c r="D65" s="1" t="inlineStr">
        <is>
          <t>Learning</t>
        </is>
      </c>
      <c r="E65" s="1" t="inlineStr"/>
      <c r="F65" s="1">
        <f>HYPERLINK("https://www.developmentaid.org/tenders/view/1606272/rfp-proposal-for-digital-learning-centres-school-program", "Apply")</f>
        <v/>
      </c>
    </row>
    <row r="66" ht="80" customHeight="1">
      <c r="A66" s="1" t="inlineStr">
        <is>
          <t>DevelopmentAid</t>
        </is>
      </c>
      <c r="B66" s="1" t="inlineStr">
        <is>
          <t>P507066 - Meghalaya Multisectoral Project for Adolescent Wellbeing, Empowerment and Resilience (MPOWER) - Procurement Plan (MPOWER-SPMU-MBMA)</t>
        </is>
      </c>
      <c r="C66" s="1" t="inlineStr"/>
      <c r="D66" s="1" t="inlineStr">
        <is>
          <t>Safety, Climate</t>
        </is>
      </c>
      <c r="E66" s="1" t="inlineStr"/>
      <c r="F66" s="1">
        <f>HYPERLINK("https://www.developmentaid.org/tenders/view/1351308/p507066-mpower-procurement-plan-mpower-spmu-mbma", "Apply")</f>
        <v/>
      </c>
    </row>
    <row r="67" ht="80" customHeight="1">
      <c r="A67" s="1" t="inlineStr">
        <is>
          <t>DevelopmentAid</t>
        </is>
      </c>
      <c r="B67" s="1" t="inlineStr">
        <is>
          <t>Request for Proposals (RFP): Consulting Agency for Identifying High Growth Livelihoods and Market Access Challenges</t>
        </is>
      </c>
      <c r="C67" s="1" t="inlineStr"/>
      <c r="D67" s="1" t="inlineStr">
        <is>
          <t>Governance</t>
        </is>
      </c>
      <c r="E67" s="1" t="inlineStr"/>
      <c r="F67" s="1">
        <f>HYPERLINK("https://www.developmentaid.org/tenders/view/1598904/request-for-proposals-rfp-consulting-agency-for-identifying-high-growth-livelihoods-and-market-acces",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2026-02-15T13:09:25Z</dcterms:created>
  <dcterms:modified xsi:type="dcterms:W3CDTF">2026-02-15T13:09:25Z</dcterms:modified>
</cp:coreProperties>
</file>