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20" customWidth="1" min="1" max="1"/>
    <col width="55" customWidth="1" min="2" max="2"/>
    <col width="120" customWidth="1" min="3" max="3"/>
    <col width="35" customWidth="1" min="4" max="4"/>
    <col width="22" customWidth="1" min="5" max="5"/>
    <col width="45" customWidth="1" min="6" max="6"/>
  </cols>
  <sheetData>
    <row r="1">
      <c r="A1" s="1" t="inlineStr">
        <is>
          <t>Source</t>
        </is>
      </c>
      <c r="B1" s="1" t="inlineStr">
        <is>
          <t>Title</t>
        </is>
      </c>
      <c r="C1" s="1" t="inlineStr">
        <is>
          <t>Description</t>
        </is>
      </c>
      <c r="D1" s="1" t="inlineStr">
        <is>
          <t>Matched_Vertical</t>
        </is>
      </c>
      <c r="E1" s="1" t="inlineStr">
        <is>
          <t>Posting_Date</t>
        </is>
      </c>
      <c r="F1" s="1" t="inlineStr">
        <is>
          <t>Apply_Link</t>
        </is>
      </c>
    </row>
    <row r="2" ht="80" customHeight="1">
      <c r="A2" s="2" t="inlineStr">
        <is>
          <t>ESTM</t>
        </is>
      </c>
      <c r="B2" s="2" t="inlineStr">
        <is>
          <t>Project Associate - Finance and Admin (Open to external applicants)</t>
        </is>
      </c>
      <c r="C2" s="2" t="inlineStr"/>
      <c r="D2" s="2" t="inlineStr"/>
      <c r="E2" s="2" t="inlineStr">
        <is>
          <t>29/12/2025</t>
        </is>
      </c>
      <c r="F2" s="2">
        <f>HYPERLINK("https://estm.fa.em2.oraclecloud.com/hcmUI/CandidateExperience/en/sites/CX_1/job/28247/?location=India&amp;locationId=300000000440677&amp;locationLevel=country&amp;mode=location", "Apply")</f>
        <v/>
      </c>
    </row>
    <row r="3" ht="80" customHeight="1">
      <c r="A3" s="2" t="inlineStr">
        <is>
          <t>ESTM</t>
        </is>
      </c>
      <c r="B3" s="2" t="inlineStr">
        <is>
          <t>Data Analytics and Strategic Insights Analyst</t>
        </is>
      </c>
      <c r="C3" s="2" t="inlineStr"/>
      <c r="D3" s="2" t="inlineStr"/>
      <c r="E3" s="2" t="inlineStr">
        <is>
          <t>29/12/2025</t>
        </is>
      </c>
      <c r="F3" s="2">
        <f>HYPERLINK("https://estm.fa.em2.oraclecloud.com/hcmUI/CandidateExperience/en/sites/CX_1/job/31017/?location=India&amp;locationId=300000000440677&amp;locationLevel=country&amp;mode=location", "Apply")</f>
        <v/>
      </c>
    </row>
    <row r="4" ht="80" customHeight="1">
      <c r="A4" s="2" t="inlineStr">
        <is>
          <t>C40</t>
        </is>
      </c>
      <c r="B4" s="2" t="inlineStr">
        <is>
          <t>Priority Initiatives and Events Manager, C40 and GCOM</t>
        </is>
      </c>
      <c r="C4" s="2" t="inlineStr">
        <is>
          <t>Governance &amp; Executive Engagement - Johannesburg, London, Rio de Janeiro &amp; United States (Hybrid)</t>
        </is>
      </c>
      <c r="D4" s="2" t="inlineStr">
        <is>
          <t>Governance</t>
        </is>
      </c>
      <c r="E4" s="2" t="inlineStr"/>
      <c r="F4" s="2">
        <f>HYPERLINK("https://c40.bamboohr.com/careers/684", "Priority Initiatives and Events Manager, C40 and GCOM")</f>
        <v/>
      </c>
    </row>
    <row r="5" ht="80" customHeight="1">
      <c r="A5" s="2" t="inlineStr">
        <is>
          <t>C40</t>
        </is>
      </c>
      <c r="B5" s="2" t="inlineStr">
        <is>
          <t>Climate Resilience Advisor, Jakarta</t>
        </is>
      </c>
      <c r="C5" s="2" t="inlineStr">
        <is>
          <t>Regions and Mayoral Engagement - Jakarta</t>
        </is>
      </c>
      <c r="D5" s="2" t="inlineStr">
        <is>
          <t>Climate</t>
        </is>
      </c>
      <c r="E5" s="2" t="inlineStr"/>
      <c r="F5" s="2">
        <f>HYPERLINK("https://c40.bamboohr.com/careers/686", "Climate Resilience Advisor, Jakarta")</f>
        <v/>
      </c>
    </row>
    <row r="6" ht="80" customHeight="1">
      <c r="A6" s="2" t="inlineStr">
        <is>
          <t>C40</t>
        </is>
      </c>
      <c r="B6" s="2" t="inlineStr">
        <is>
          <t>Climate Resilience Advisor, Quezon City</t>
        </is>
      </c>
      <c r="C6" s="2" t="inlineStr">
        <is>
          <t>Regions and Mayoral Engagement - Quezon City</t>
        </is>
      </c>
      <c r="D6" s="2" t="inlineStr">
        <is>
          <t>Climate</t>
        </is>
      </c>
      <c r="E6" s="2" t="inlineStr"/>
      <c r="F6" s="2">
        <f>HYPERLINK("https://c40.bamboohr.com/careers/687", "Climate Resilience Advisor, Quezon City")</f>
        <v/>
      </c>
    </row>
    <row r="7" ht="80" customHeight="1">
      <c r="A7" s="2" t="inlineStr">
        <is>
          <t>C40</t>
        </is>
      </c>
      <c r="B7" s="2" t="inlineStr">
        <is>
          <t>Consultant - Climate Resilience Advisor, Freetown</t>
        </is>
      </c>
      <c r="C7" s="2" t="inlineStr">
        <is>
          <t>Regions and Mayoral Engagement - Freetown</t>
        </is>
      </c>
      <c r="D7" s="2" t="inlineStr">
        <is>
          <t>Climate</t>
        </is>
      </c>
      <c r="E7" s="2" t="inlineStr"/>
      <c r="F7" s="2">
        <f>HYPERLINK("https://c40.bamboohr.com/careers/688", "Consultant - Climate Resilience Advisor, Freetown")</f>
        <v/>
      </c>
    </row>
    <row r="8" ht="80" customHeight="1">
      <c r="A8" s="2" t="inlineStr">
        <is>
          <t>C40</t>
        </is>
      </c>
      <c r="B8" s="2" t="inlineStr">
        <is>
          <t>Manager, Urban Planning Accelerator</t>
        </is>
      </c>
      <c r="C8" s="2" t="inlineStr">
        <is>
          <t>Climate Solutions and Networks - Colombia, Indonesia, Malaysia &amp; Philippines (Hybrid)</t>
        </is>
      </c>
      <c r="D8" s="2" t="inlineStr">
        <is>
          <t>Climate</t>
        </is>
      </c>
      <c r="E8" s="2" t="inlineStr"/>
      <c r="F8" s="2">
        <f>HYPERLINK("https://c40.bamboohr.com/careers/691", "Manager, Urban Planning Accelerator")</f>
        <v/>
      </c>
    </row>
    <row r="9" ht="80" customHeight="1">
      <c r="A9" s="2" t="inlineStr">
        <is>
          <t>DevelopmentAid</t>
        </is>
      </c>
      <c r="B9" s="2" t="inlineStr">
        <is>
          <t>Development of Bankable Project Pipeline of Low-carbon Buildings in India, ALCBT Project</t>
        </is>
      </c>
      <c r="C9" s="2" t="inlineStr"/>
      <c r="D9" s="2" t="inlineStr">
        <is>
          <t>Learning</t>
        </is>
      </c>
      <c r="E9" s="2" t="inlineStr"/>
      <c r="F9" s="2">
        <f>HYPERLINK("https://www.developmentaid.org/tenders/view/1577247/development-of-bankable-project-pipeline-of-low-carbon-buildings-in-india-alcbt-project", "Apply")</f>
        <v/>
      </c>
    </row>
    <row r="10" ht="80" customHeight="1">
      <c r="A10" s="2" t="inlineStr">
        <is>
          <t>DevelopmentAid</t>
        </is>
      </c>
      <c r="B10" s="2" t="inlineStr">
        <is>
          <t>Institutionalization of the Building Emission Assessment Tool and Establishment of Building Registry Pilot in 5 States and Bureau of Energy Efficiency of India to Support Implementation of Energy Conservation &amp; Sustainable Building Code</t>
        </is>
      </c>
      <c r="C10" s="2" t="inlineStr"/>
      <c r="D10" s="2" t="inlineStr">
        <is>
          <t>Governance, Climate</t>
        </is>
      </c>
      <c r="E10" s="2" t="inlineStr"/>
      <c r="F10" s="2">
        <f>HYPERLINK("https://www.developmentaid.org/tenders/view/1581627/institutionalization-of-the-building-emission-assessment-tool-and-establishment-of-building-registry", "Apply")</f>
        <v/>
      </c>
    </row>
    <row r="11" ht="80" customHeight="1">
      <c r="A11" s="2" t="inlineStr">
        <is>
          <t>DevelopmentAid</t>
        </is>
      </c>
      <c r="B11" s="2" t="inlineStr">
        <is>
          <t>Preparatory Survey on Participatory Forestry Capacity Development Project in Jharkhand, India [Fee Account Technical Assistance] (QCBS-Lump Sum Type)</t>
        </is>
      </c>
      <c r="C11" s="2" t="inlineStr"/>
      <c r="D11" s="2" t="inlineStr">
        <is>
          <t>Governance, Learning</t>
        </is>
      </c>
      <c r="E11" s="2" t="inlineStr"/>
      <c r="F11" s="2">
        <f>HYPERLINK("https://www.developmentaid.org/tenders/view/1578242/preparatory-survey-on-participatory-forestry-capacity-development-project-in-jharkhand-india-fee-acc", "Apply")</f>
        <v/>
      </c>
    </row>
    <row r="12" ht="80" customHeight="1">
      <c r="A12" s="2" t="inlineStr">
        <is>
          <t>DevelopmentAid</t>
        </is>
      </c>
      <c r="B12" s="2" t="inlineStr">
        <is>
          <t>Short Term Consultant-Portuguese Translator</t>
        </is>
      </c>
      <c r="C12" s="2" t="inlineStr"/>
      <c r="D12" s="2" t="inlineStr">
        <is>
          <t>Governance</t>
        </is>
      </c>
      <c r="E12" s="2" t="inlineStr"/>
      <c r="F12" s="2">
        <f>HYPERLINK("https://www.developmentaid.org/tenders/view/1592867/short-term-consultant-portuguese-translator", "Apply")</f>
        <v/>
      </c>
    </row>
    <row r="13" ht="80" customHeight="1">
      <c r="A13" s="2" t="inlineStr">
        <is>
          <t>DevelopmentAid</t>
        </is>
      </c>
      <c r="B13" s="2" t="inlineStr">
        <is>
          <t>RFP-002-IND-2026 - Development of a detailed Adaptation Project</t>
        </is>
      </c>
      <c r="C13" s="2" t="inlineStr"/>
      <c r="D13" s="2" t="inlineStr">
        <is>
          <t>Learning</t>
        </is>
      </c>
      <c r="E13" s="2" t="inlineStr"/>
      <c r="F13" s="2">
        <f>HYPERLINK("https://www.developmentaid.org/tenders/view/1590957/rfp-002-ind-2026-development-of-a-detailed-adaptation-project", "Apply")</f>
        <v/>
      </c>
    </row>
    <row r="14" ht="80" customHeight="1">
      <c r="A14" s="2" t="inlineStr">
        <is>
          <t>DevelopmentAid</t>
        </is>
      </c>
      <c r="B14" s="2" t="inlineStr">
        <is>
          <t>Procurement of Ergonomic office chairs and visitor chairs for UN Women India</t>
        </is>
      </c>
      <c r="C14" s="2" t="inlineStr"/>
      <c r="D14" s="2" t="inlineStr">
        <is>
          <t>Safety</t>
        </is>
      </c>
      <c r="E14" s="2" t="inlineStr"/>
      <c r="F14" s="2">
        <f>HYPERLINK("https://www.developmentaid.org/tenders/view/1592909/procurement-of-ergonomic-office-chairs-and-visitor-chairs-for-un-women-india", "Apply")</f>
        <v/>
      </c>
    </row>
    <row r="15" ht="80" customHeight="1">
      <c r="A15" s="2" t="inlineStr">
        <is>
          <t>DevelopmentAid</t>
        </is>
      </c>
      <c r="B15" s="2" t="inlineStr">
        <is>
          <t>81322699-Communications support for the City Climate Finance Gap Fund</t>
        </is>
      </c>
      <c r="C15" s="2" t="inlineStr"/>
      <c r="D15" s="2" t="inlineStr">
        <is>
          <t>Climate</t>
        </is>
      </c>
      <c r="E15" s="2" t="inlineStr"/>
      <c r="F15" s="2">
        <f>HYPERLINK("https://www.developmentaid.org/tenders/view/1585540/81322699-communications-support-for-the-city-climate-finance-gap-fund", "Apply")</f>
        <v/>
      </c>
    </row>
    <row r="16" ht="80" customHeight="1">
      <c r="A16" s="2" t="inlineStr">
        <is>
          <t>DevelopmentAid</t>
        </is>
      </c>
      <c r="B16" s="2" t="inlineStr">
        <is>
          <t>LOAN-4291 IND: Himachal Pradesh Subtropical Horticulture, Irrigation, and Value Addition Project - CS 13 Detailed design and Construction Supervision Consultant for Farmers Enterprise Innovation Centre (FEIC) and Farmers Advisory and Capacity Development Centre (FACDC) (53189-002)</t>
        </is>
      </c>
      <c r="C16" s="2" t="inlineStr"/>
      <c r="D16" s="2" t="inlineStr">
        <is>
          <t>Governance, Learning</t>
        </is>
      </c>
      <c r="E16" s="2" t="inlineStr"/>
      <c r="F16" s="2">
        <f>HYPERLINK("https://www.developmentaid.org/tenders/view/1588620/loan-4291-ind-himachal-pradesh-subtropical-horticulture-irrigation-and-value-addition-project-cs-13", "Apply")</f>
        <v/>
      </c>
    </row>
    <row r="17" ht="80" customHeight="1">
      <c r="A17" s="2" t="inlineStr">
        <is>
          <t>DevelopmentAid</t>
        </is>
      </c>
      <c r="B17" s="2" t="inlineStr">
        <is>
          <t>81322717 Development of training programs for the mobility of skilled workforce to Germany</t>
        </is>
      </c>
      <c r="C17" s="2" t="inlineStr"/>
      <c r="D17" s="2" t="inlineStr">
        <is>
          <t>Learning, Safety</t>
        </is>
      </c>
      <c r="E17" s="2" t="inlineStr"/>
      <c r="F17" s="2">
        <f>HYPERLINK("https://www.developmentaid.org/tenders/view/1586182/81322717-development-of-training-programs-for-the-mobility-of-skilled-workforce-to-germany", "Apply")</f>
        <v/>
      </c>
    </row>
    <row r="18" ht="80" customHeight="1">
      <c r="A18" s="2" t="inlineStr">
        <is>
          <t>DevelopmentAid</t>
        </is>
      </c>
      <c r="B18" s="2" t="inlineStr">
        <is>
          <t>Call for External Collaborator – Strengthening Social Protection Provisions in BLAs/MoUs (South Asia–GCC Corridor)</t>
        </is>
      </c>
      <c r="C18" s="2" t="inlineStr"/>
      <c r="D18" s="2" t="inlineStr">
        <is>
          <t>Safety</t>
        </is>
      </c>
      <c r="E18" s="2" t="inlineStr"/>
      <c r="F18" s="2">
        <f>HYPERLINK("https://www.developmentaid.org/tenders/view/1587863/call-for-external-collaborator-strengthening-social-protection-provisions-in-blasmous-south-asia-gcc", "Apply")</f>
        <v/>
      </c>
    </row>
    <row r="19" ht="80" customHeight="1">
      <c r="A19" s="2" t="inlineStr">
        <is>
          <t>DevelopmentAid</t>
        </is>
      </c>
      <c r="B19" s="2" t="inlineStr">
        <is>
          <t>Kerala Climate Resilient Agri- Value Chain Modernization (KERA) Project: Appointment of Consultants to Develop and Operationalize a Communication Strategy and Public Information Cell (PIC) for KERA Project</t>
        </is>
      </c>
      <c r="C19" s="2" t="inlineStr"/>
      <c r="D19" s="2" t="inlineStr">
        <is>
          <t>Governance, Climate</t>
        </is>
      </c>
      <c r="E19" s="2" t="inlineStr"/>
      <c r="F19" s="2">
        <f>HYPERLINK("https://www.developmentaid.org/tenders/view/1591516/kerala-climate-resilient-agri-value-chain-modernization-kera-project-appointment-of-consultants-to-d", "Apply")</f>
        <v/>
      </c>
    </row>
    <row r="20" ht="80" customHeight="1">
      <c r="A20" s="2" t="inlineStr">
        <is>
          <t>DevelopmentAid</t>
        </is>
      </c>
      <c r="B20" s="2" t="inlineStr">
        <is>
          <t>Supporting the UN to increase meaningful participation of women in peace operations</t>
        </is>
      </c>
      <c r="C20" s="2" t="inlineStr"/>
      <c r="D20" s="2" t="inlineStr">
        <is>
          <t>Safety</t>
        </is>
      </c>
      <c r="E20" s="2" t="inlineStr"/>
      <c r="F20" s="2">
        <f>HYPERLINK("https://www.developmentaid.org/tenders/view/1592214/supporting-the-un-to-increase-meaningful-participation-of-women-in-peace-operations", "Apply")</f>
        <v/>
      </c>
    </row>
    <row r="21" ht="80" customHeight="1">
      <c r="A21" s="2" t="inlineStr">
        <is>
          <t>DevelopmentAid</t>
        </is>
      </c>
      <c r="B21" s="2" t="inlineStr">
        <is>
          <t>Kerala Solid Waste Management Project: Renovation and Extension of Existing Rrf in Ward 65 Kaloor</t>
        </is>
      </c>
      <c r="C21" s="2" t="inlineStr"/>
      <c r="D21" s="2" t="inlineStr">
        <is>
          <t>Governance, Climate</t>
        </is>
      </c>
      <c r="E21" s="2" t="inlineStr"/>
      <c r="F21" s="2">
        <f>HYPERLINK("https://www.developmentaid.org/tenders/view/1592425/kerala-solid-waste-management-project-renovation-and-extension-of-existing-rrf-in-ward-65-kaloor", "Apply")</f>
        <v/>
      </c>
    </row>
    <row r="22" ht="80" customHeight="1">
      <c r="A22" s="2" t="inlineStr">
        <is>
          <t>DevelopmentAid</t>
        </is>
      </c>
      <c r="B22" s="2" t="inlineStr">
        <is>
          <t>RFQ - for Consultancy Services – Baseline and Scoping Study in 40 Gram Panchayats of Sheopur and Shivpuri Districts</t>
        </is>
      </c>
      <c r="C22" s="2" t="inlineStr"/>
      <c r="D22" s="2" t="inlineStr">
        <is>
          <t>Governance</t>
        </is>
      </c>
      <c r="E22" s="2" t="inlineStr"/>
      <c r="F22" s="2">
        <f>HYPERLINK("https://www.developmentaid.org/tenders/view/1592382/rfq-for-consultancy-services-baseline-and-scoping-study-in-40-gram-panchayats-of-sheopur-and-shivpur", "Apply")</f>
        <v/>
      </c>
    </row>
    <row r="23" ht="80" customHeight="1">
      <c r="A23" s="2" t="inlineStr">
        <is>
          <t>DevelopmentAid</t>
        </is>
      </c>
      <c r="B23" s="2" t="inlineStr">
        <is>
          <t>RFQ - for Consultancy Services – Baseline and Scoping Study in 40 Gram Panchayats of Dhar and Dewas Districts</t>
        </is>
      </c>
      <c r="C23" s="2" t="inlineStr"/>
      <c r="D23" s="2" t="inlineStr">
        <is>
          <t>Governance</t>
        </is>
      </c>
      <c r="E23" s="2" t="inlineStr"/>
      <c r="F23" s="2">
        <f>HYPERLINK("https://www.developmentaid.org/tenders/view/1592387/rfq-for-consultancy-services-baseline-and-scoping-study-in-40-gram-panchayats-of-dhar-and-dewas-dist", "Apply")</f>
        <v/>
      </c>
    </row>
    <row r="24" ht="80" customHeight="1">
      <c r="A24" s="2" t="inlineStr">
        <is>
          <t>DevelopmentAid</t>
        </is>
      </c>
      <c r="B24" s="2" t="inlineStr">
        <is>
          <t>Kerala Solid Waste Management Project: Procurement of Two Covered Tipper vehicles for the Transportation of Bio- Waste for Kozhikode Corporation</t>
        </is>
      </c>
      <c r="C24" s="2" t="inlineStr"/>
      <c r="D24" s="2" t="inlineStr">
        <is>
          <t>Governance, Climate</t>
        </is>
      </c>
      <c r="E24" s="2" t="inlineStr"/>
      <c r="F24" s="2">
        <f>HYPERLINK("https://www.developmentaid.org/tenders/view/1591279/kerala-solid-waste-management-project-procurement-of-two-covered-tipper-vehicles-for-the-transportat", "Apply")</f>
        <v/>
      </c>
    </row>
    <row r="25" ht="80" customHeight="1">
      <c r="A25" s="2" t="inlineStr">
        <is>
          <t>DevelopmentAid</t>
        </is>
      </c>
      <c r="B25" s="2" t="inlineStr">
        <is>
          <t>Kerala Solid Waste Management Project: Procurement of Five covered Mini Tipper Vehicles for the Transportation of Bio-waste for Kozhikode Corporation</t>
        </is>
      </c>
      <c r="C25" s="2" t="inlineStr"/>
      <c r="D25" s="2" t="inlineStr">
        <is>
          <t>Governance, Climate</t>
        </is>
      </c>
      <c r="E25" s="2" t="inlineStr"/>
      <c r="F25" s="2">
        <f>HYPERLINK("https://www.developmentaid.org/tenders/view/1591291/kerala-solid-waste-management-project-procurement-of-five-covered-mini-tipper-vehicles-for-the-trans", "Apply")</f>
        <v/>
      </c>
    </row>
    <row r="26" ht="80" customHeight="1">
      <c r="A26" s="2" t="inlineStr">
        <is>
          <t>DevelopmentAid</t>
        </is>
      </c>
      <c r="B26" s="2" t="inlineStr">
        <is>
          <t>Assam Resilient Rural Bridges Program: “Consultancy Services for construction supervision of about 1184 Bridges in 4(Four) zones (Zone A, Zone B, Zone C, Zone D) in 34 districts of Assam under the World Bank financed Assam Resilient Rural Bridges Program (ARRBP)"</t>
        </is>
      </c>
      <c r="C26" s="2" t="inlineStr"/>
      <c r="D26" s="2" t="inlineStr">
        <is>
          <t>Governance</t>
        </is>
      </c>
      <c r="E26" s="2" t="inlineStr"/>
      <c r="F26" s="2">
        <f>HYPERLINK("https://www.developmentaid.org/tenders/view/1319230/assam-resilient-rural-bridges-program-consultancy-services-for-construction-supervision-of-about-118", "Apply")</f>
        <v/>
      </c>
    </row>
    <row r="27" ht="80" customHeight="1">
      <c r="A27" s="2" t="inlineStr">
        <is>
          <t>DevelopmentAid</t>
        </is>
      </c>
      <c r="B27" s="2" t="inlineStr">
        <is>
          <t>West Bengal Accelerated Development of Minor Irrigation Project - Phase II: Engagement of a NGO named as Sigma Foundation for Consultancy Services to develop a Strategy Note on Institutionalizing Water User Association (WUA) Cell in WRIDD on Single Source Selection (SSS) basis under WBADMI Project</t>
        </is>
      </c>
      <c r="C27" s="2" t="inlineStr"/>
      <c r="D27" s="2" t="inlineStr">
        <is>
          <t>Governance, Learning</t>
        </is>
      </c>
      <c r="E27" s="2" t="inlineStr"/>
      <c r="F27" s="2">
        <f>HYPERLINK("https://www.developmentaid.org/tenders/view/1591615/west-bengal-accelerated-development-of-minor-irrigation-project-phase-ii-engagement-of-a-ngo-named-a", "Apply")</f>
        <v/>
      </c>
    </row>
    <row r="28" ht="80" customHeight="1">
      <c r="A28" s="2" t="inlineStr">
        <is>
          <t>DevelopmentAid</t>
        </is>
      </c>
      <c r="B28" s="2" t="inlineStr">
        <is>
          <t>Kerala Solid Waste Management Project: Replacement of existing vehicle for NBDW</t>
        </is>
      </c>
      <c r="C28" s="2" t="inlineStr"/>
      <c r="D28" s="2" t="inlineStr">
        <is>
          <t>Governance, Climate</t>
        </is>
      </c>
      <c r="E28" s="2" t="inlineStr"/>
      <c r="F28" s="2">
        <f>HYPERLINK("https://www.developmentaid.org/tenders/view/1591262/kerala-solid-waste-management-project-replacement-of-existing-vehicle-for-nbdw", "Apply")</f>
        <v/>
      </c>
    </row>
    <row r="29" ht="80" customHeight="1">
      <c r="A29" s="2" t="inlineStr">
        <is>
          <t>DevelopmentAid</t>
        </is>
      </c>
      <c r="B29" s="2" t="inlineStr">
        <is>
          <t>Punjab Municipal Services Improvement Project: Modernisation of 1R Disty of Sidhwan Canal to provide water to MC Ludhiana</t>
        </is>
      </c>
      <c r="C29" s="2" t="inlineStr"/>
      <c r="D29" s="2" t="inlineStr">
        <is>
          <t>Governance</t>
        </is>
      </c>
      <c r="E29" s="2" t="inlineStr"/>
      <c r="F29" s="2">
        <f>HYPERLINK("https://www.developmentaid.org/tenders/view/1592402/punjab-municipal-services-improvement-project-modernisation-of-1r-disty-of-sidhwan-canal-to-provide", "Apply")</f>
        <v/>
      </c>
    </row>
    <row r="30" ht="80" customHeight="1">
      <c r="A30" s="2" t="inlineStr">
        <is>
          <t>DevelopmentAid</t>
        </is>
      </c>
      <c r="B30" s="2" t="inlineStr">
        <is>
          <t>Kerala Solid Waste Management Project: Electrification of MCF &amp; RRF building at Mattanur municipality</t>
        </is>
      </c>
      <c r="C30" s="2" t="inlineStr"/>
      <c r="D30" s="2" t="inlineStr">
        <is>
          <t>Governance, Climate</t>
        </is>
      </c>
      <c r="E30" s="2" t="inlineStr"/>
      <c r="F30" s="2">
        <f>HYPERLINK("https://www.developmentaid.org/tenders/view/1591146/kerala-solid-waste-management-project-electrification-of-mcf-rrf-building-at-mattanur-municipality", "Apply")</f>
        <v/>
      </c>
    </row>
    <row r="31" ht="80" customHeight="1">
      <c r="A31" s="2" t="inlineStr">
        <is>
          <t>DevelopmentAid</t>
        </is>
      </c>
      <c r="B31" s="2" t="inlineStr">
        <is>
          <t>Assam State Secondary Healthcare Initiative for Service Delivery Transformation (ASSIST) Project: Hiring of Creative Multimedia Communication Agency for Content Development and Management of Communication Materials  using various tools and mediums of  communication for  General  IEC , Citizen Engagement &amp; Behavior Change Communication under AHIDMS.</t>
        </is>
      </c>
      <c r="C31" s="2" t="inlineStr"/>
      <c r="D31" s="2" t="inlineStr">
        <is>
          <t>Governance, Learning</t>
        </is>
      </c>
      <c r="E31" s="2" t="inlineStr"/>
      <c r="F31" s="2">
        <f>HYPERLINK("https://www.developmentaid.org/tenders/view/1591188/assam-state-secondary-healthcare-initiative-for-service-delivery-transformation-assist-project-hirin", "Apply")</f>
        <v/>
      </c>
    </row>
    <row r="32" ht="80" customHeight="1">
      <c r="A32" s="2" t="inlineStr">
        <is>
          <t>DevelopmentAid</t>
        </is>
      </c>
      <c r="B32" s="2" t="inlineStr">
        <is>
          <t>Research for Evidence-Based Planning, Mapping, Improvement, &amp; Development of IIPs of ITIs</t>
        </is>
      </c>
      <c r="C32" s="2" t="inlineStr"/>
      <c r="D32" s="2" t="inlineStr">
        <is>
          <t>Learning</t>
        </is>
      </c>
      <c r="E32" s="2" t="inlineStr"/>
      <c r="F32" s="2">
        <f>HYPERLINK("https://www.developmentaid.org/tenders/view/1592079/research-for-evidence-based-planning-mapping-improvement-development-of-iips-of-itis", "Apply")</f>
        <v/>
      </c>
    </row>
    <row r="33" ht="80" customHeight="1">
      <c r="A33" s="2" t="inlineStr">
        <is>
          <t>DevelopmentAid</t>
        </is>
      </c>
      <c r="B33" s="2" t="inlineStr">
        <is>
          <t>West Bengal Inland Water Transport, Logistics and Spatial Development Project: Construction of 4 Nos SRC and 1 ICCC. (5 Lots)</t>
        </is>
      </c>
      <c r="C33" s="2" t="inlineStr"/>
      <c r="D33" s="2" t="inlineStr">
        <is>
          <t>Learning, Safety</t>
        </is>
      </c>
      <c r="E33" s="2" t="inlineStr"/>
      <c r="F33" s="2">
        <f>HYPERLINK("https://www.developmentaid.org/tenders/view/1591193/west-bengal-inland-water-transport-logistics-and-spatial-development-project-construction-of-4-nos-s", "Apply")</f>
        <v/>
      </c>
    </row>
    <row r="34" ht="80" customHeight="1">
      <c r="A34" s="2" t="inlineStr">
        <is>
          <t>DevelopmentAid</t>
        </is>
      </c>
      <c r="B34" s="2" t="inlineStr">
        <is>
          <t>RFP-001-IND-2026 - Agency for Development of An Implementation Roadmap</t>
        </is>
      </c>
      <c r="C34" s="2" t="inlineStr"/>
      <c r="D34" s="2" t="inlineStr">
        <is>
          <t>Learning</t>
        </is>
      </c>
      <c r="E34" s="2" t="inlineStr"/>
      <c r="F34" s="2">
        <f>HYPERLINK("https://www.developmentaid.org/tenders/view/1591862/rfp-001-ind-2026-agency-for-development-of-an-implementation-roadmap", "Apply")</f>
        <v/>
      </c>
    </row>
    <row r="35" ht="80" customHeight="1">
      <c r="A35" s="2" t="inlineStr">
        <is>
          <t>DevelopmentAid</t>
        </is>
      </c>
      <c r="B35" s="2" t="inlineStr">
        <is>
          <t>TA-10244 IND: Supporting the Transformation of the Indian Agriculture System - PMDDK-02 PMDDKY - Agriculture Sector Development Consultant-02 (57198-001)</t>
        </is>
      </c>
      <c r="C35" s="2" t="inlineStr"/>
      <c r="D35" s="2" t="inlineStr">
        <is>
          <t>Governance, Learning</t>
        </is>
      </c>
      <c r="E35" s="2" t="inlineStr"/>
      <c r="F35" s="2">
        <f>HYPERLINK("https://www.developmentaid.org/tenders/view/1591097/ta-10244-ind-supporting-the-transformation-of-the-indian-agriculture-system-pmddk-02-pmddky-agricult", "Apply")</f>
        <v/>
      </c>
    </row>
    <row r="36" ht="80" customHeight="1">
      <c r="A36" s="2" t="inlineStr">
        <is>
          <t>DevelopmentAid</t>
        </is>
      </c>
      <c r="B36" s="2" t="inlineStr">
        <is>
          <t>TA-10244 IND: Supporting the Transformation of the Indian Agriculture System - PMDDK-01 PMDDKY - Agriculture Sector Development Consultant-01 (57198-001)</t>
        </is>
      </c>
      <c r="C36" s="2" t="inlineStr"/>
      <c r="D36" s="2" t="inlineStr">
        <is>
          <t>Governance, Learning</t>
        </is>
      </c>
      <c r="E36" s="2" t="inlineStr"/>
      <c r="F36" s="2">
        <f>HYPERLINK("https://www.developmentaid.org/tenders/view/1591096/ta-10244-ind-supporting-the-transformation-of-the-indian-agriculture-system-pmddk-01-pmddky-agricult", "Apply")</f>
        <v/>
      </c>
    </row>
    <row r="37" ht="80" customHeight="1">
      <c r="A37" s="2" t="inlineStr">
        <is>
          <t>DevelopmentAid</t>
        </is>
      </c>
      <c r="B37" s="2" t="inlineStr">
        <is>
          <t>TA-10162 REG: Promoting Energy Transition through Regional Cooperation and Integration in South Asia - Techical Specialist - Energy Sector/Regional Cooperation (International) (57116-001)</t>
        </is>
      </c>
      <c r="C37" s="2" t="inlineStr"/>
      <c r="D37" s="2" t="inlineStr">
        <is>
          <t>Climate</t>
        </is>
      </c>
      <c r="E37" s="2" t="inlineStr"/>
      <c r="F37" s="2">
        <f>HYPERLINK("https://www.developmentaid.org/tenders/view/1591094/ta-10162-reg-promoting-energy-transition-through-regional-cooperation-and-integration-in-south-asia", "Apply")</f>
        <v/>
      </c>
    </row>
    <row r="38" ht="80" customHeight="1">
      <c r="A38" s="2" t="inlineStr">
        <is>
          <t>DevelopmentAid</t>
        </is>
      </c>
      <c r="B38" s="2" t="inlineStr">
        <is>
          <t>Public Service Capability Enhancement Project: Empanelment of Individual Subject Matter Experts (SMEs) for Content Review and Curation for iGOT portal of Karmayogi Bharat for 7 Sectors</t>
        </is>
      </c>
      <c r="C38" s="2" t="inlineStr"/>
      <c r="D38" s="2" t="inlineStr">
        <is>
          <t>Governance</t>
        </is>
      </c>
      <c r="E38" s="2" t="inlineStr"/>
      <c r="F38" s="2">
        <f>HYPERLINK("https://www.developmentaid.org/tenders/view/1344099/public-service-capability-enhancement-project-empanelment-of-individual-subject-matter-experts-smes", "Apply")</f>
        <v/>
      </c>
    </row>
    <row r="39" ht="80" customHeight="1">
      <c r="A39" s="2" t="inlineStr">
        <is>
          <t>DevelopmentAid</t>
        </is>
      </c>
      <c r="B39" s="2" t="inlineStr">
        <is>
          <t>Enhancing Landscape and Ecosystem Management (ELEMENT) Project: Hiring of agency for assistance in development of CLMP Toolkit, Training and Mobile App</t>
        </is>
      </c>
      <c r="C39" s="2" t="inlineStr"/>
      <c r="D39" s="2" t="inlineStr">
        <is>
          <t>Governance, Learning</t>
        </is>
      </c>
      <c r="E39" s="2" t="inlineStr"/>
      <c r="F39" s="2">
        <f>HYPERLINK("https://www.developmentaid.org/tenders/view/1591694/enhancing-landscape-and-ecosystem-management-element-project-hiring-of-agency-for-assistance-in-deve", "Apply")</f>
        <v/>
      </c>
    </row>
    <row r="40" ht="80" customHeight="1">
      <c r="A40" s="2" t="inlineStr">
        <is>
          <t>DevelopmentAid</t>
        </is>
      </c>
      <c r="B40" s="2" t="inlineStr">
        <is>
          <t>TA-10720 REG: UHC PEERS Coordination Health Expert (59388-001)</t>
        </is>
      </c>
      <c r="C40" s="2" t="inlineStr"/>
      <c r="D40" s="2" t="inlineStr">
        <is>
          <t>Safety</t>
        </is>
      </c>
      <c r="E40" s="2" t="inlineStr"/>
      <c r="F40" s="2">
        <f>HYPERLINK("https://www.developmentaid.org/tenders/view/1591087/ta-10720-reg-uhc-peers-coordination-health-expert-59388-001", "Apply")</f>
        <v/>
      </c>
    </row>
    <row r="41" ht="80" customHeight="1">
      <c r="A41" s="2" t="inlineStr">
        <is>
          <t>DevelopmentAid</t>
        </is>
      </c>
      <c r="B41" s="2" t="inlineStr">
        <is>
          <t>TA-10244 IND: Supporting the Transformation of the Indian Agriculture System - PMDDK-03 PMDDKY - Senior Agriculture Sector Development Consultant-03 (57198-001)</t>
        </is>
      </c>
      <c r="C41" s="2" t="inlineStr"/>
      <c r="D41" s="2" t="inlineStr">
        <is>
          <t>Governance, Learning</t>
        </is>
      </c>
      <c r="E41" s="2" t="inlineStr"/>
      <c r="F41" s="2">
        <f>HYPERLINK("https://www.developmentaid.org/tenders/view/1591082/ta-10244-ind-supporting-the-transformation-of-the-indian-agriculture-system-pmddk-03-pmddky-senior-a", "Apply")</f>
        <v/>
      </c>
    </row>
    <row r="42" ht="80" customHeight="1">
      <c r="A42" s="2" t="inlineStr">
        <is>
          <t>DevelopmentAid</t>
        </is>
      </c>
      <c r="B42" s="2" t="inlineStr">
        <is>
          <t>LOAN 59312-001 IND: Puducherry Integrated Urban Livability Improvement Project - CS1 Project Management and Supervision Consultant (PMSC)</t>
        </is>
      </c>
      <c r="C42" s="2" t="inlineStr"/>
      <c r="D42" s="2" t="inlineStr">
        <is>
          <t>Governance</t>
        </is>
      </c>
      <c r="E42" s="2" t="inlineStr"/>
      <c r="F42" s="2">
        <f>HYPERLINK("https://www.developmentaid.org/tenders/view/1579250/loan-59312-001-ind-puducherry-integrated-urban-livability-improvement-project-cs1-project-management", "Apply")</f>
        <v/>
      </c>
    </row>
    <row r="43" ht="80" customHeight="1">
      <c r="A43" s="2" t="inlineStr">
        <is>
          <t>DevelopmentAid</t>
        </is>
      </c>
      <c r="B43" s="2" t="inlineStr">
        <is>
          <t>Assam Disaster Resilient Hill Area Roads Development Project (ADRHARDP): Project Management Consultancy (PMC) services for implementation of Assam Disaster Resilient Hill Area Road Development Project (ADRHARDP) in Dima Hasao District,Assam</t>
        </is>
      </c>
      <c r="C43" s="2" t="inlineStr"/>
      <c r="D43" s="2" t="inlineStr">
        <is>
          <t>Governance, Learning, Climate</t>
        </is>
      </c>
      <c r="E43" s="2" t="inlineStr"/>
      <c r="F43" s="2">
        <f>HYPERLINK("https://www.developmentaid.org/tenders/view/1512219/assam-disaster-resilient-hill-area-roads-development-project-adrhardp-project-management-consultancy", "Apply")</f>
        <v/>
      </c>
    </row>
    <row r="44" ht="80" customHeight="1">
      <c r="A44" s="2" t="inlineStr">
        <is>
          <t>DevelopmentAid</t>
        </is>
      </c>
      <c r="B44" s="2" t="inlineStr">
        <is>
          <t>Assam Disaster Resilient Hill Area Roads Development Project (ADRHARDP): Upgradation and 4-year maintenance of Corridor-2 (Thongikro – Moulkang - Simtuilong – Semkhor – Maibang - Gunjung - Jorai – Longkuk Section in Dima Hasao District): Semkhor (Km. 30/700) to Near Maibang (Km 54/476) under ADRHARDP, Package Length=23.546 km</t>
        </is>
      </c>
      <c r="C44" s="2" t="inlineStr"/>
      <c r="D44" s="2" t="inlineStr">
        <is>
          <t>Learning, Climate</t>
        </is>
      </c>
      <c r="E44" s="2" t="inlineStr"/>
      <c r="F44" s="2">
        <f>HYPERLINK("https://www.developmentaid.org/tenders/view/1487758/assam-disaster-resilient-hill-area-roads-development-project-adrhardp-upgradation-and-4-year-mainten", "Apply")</f>
        <v/>
      </c>
    </row>
    <row r="45" ht="80" customHeight="1">
      <c r="A45" s="2" t="inlineStr">
        <is>
          <t>DevelopmentAid</t>
        </is>
      </c>
      <c r="B45" s="2" t="inlineStr">
        <is>
          <t>Assam Disaster Resilient Hill Area Roads Development Project (ADRHARDP): Upgradation and 4-year maintenance of Corridor-1 (Thongikro – Bonkhai - kolaidisa – Khejurbond – Dehangi - New Sangbar - Umrongso – khandong Section in Dima Hasao District): Dikrangso (km. 122/000) to Umrangso (Km 158/000) (Length – 36.00 kms) under Assam</t>
        </is>
      </c>
      <c r="C45" s="2" t="inlineStr"/>
      <c r="D45" s="2" t="inlineStr">
        <is>
          <t>Learning, Climate</t>
        </is>
      </c>
      <c r="E45" s="2" t="inlineStr"/>
      <c r="F45" s="2">
        <f>HYPERLINK("https://www.developmentaid.org/tenders/view/1487759/assam-disaster-resilient-hill-area-roads-development-project-adrhardp-upgradation-and-4-year-mainten", "Apply")</f>
        <v/>
      </c>
    </row>
    <row r="46" ht="80" customHeight="1">
      <c r="A46" s="2" t="inlineStr">
        <is>
          <t>DevelopmentAid</t>
        </is>
      </c>
      <c r="B46" s="2" t="inlineStr">
        <is>
          <t>Assam Disaster Resilient Hill Area Roads Development Project (ADRHARDP): Upgradation and 4-year maintenance of Corridor-2 : Near Maibang (Km. 54/476) to Near Gunjung (Km 82/100)(Excluding the section from Km 78+530 to Km 79+960 [1.43 km]) under ADRHARDP (Total Length: 26.194 km). Pkg. 4</t>
        </is>
      </c>
      <c r="C46" s="2" t="inlineStr"/>
      <c r="D46" s="2" t="inlineStr">
        <is>
          <t>Learning, Climate</t>
        </is>
      </c>
      <c r="E46" s="2" t="inlineStr"/>
      <c r="F46" s="2">
        <f>HYPERLINK("https://www.developmentaid.org/tenders/view/1474865/assam-disaster-resilient-hill-area-roads-development-project-adrhardp-upgradation-and-4-year-mainten", "Apply")</f>
        <v/>
      </c>
    </row>
    <row r="47" ht="80" customHeight="1">
      <c r="A47" s="2" t="inlineStr">
        <is>
          <t>DevelopmentAid</t>
        </is>
      </c>
      <c r="B47" s="2" t="inlineStr">
        <is>
          <t>Assam Disaster Resilient Hill Area Roads Development Project (ADRHARDP): Upgradation and 4-year maintenance of Corridor-1:(Thongikro – Bonkhai – Kolaidisa – Khejurbond – Dehangi – New Sangbar – Umrongso – Khandong Section in Dima Hasao District): From Km 98+000 (Thaiplungdisa) to Km 122+000 (Dikrangso) Pkg. 3</t>
        </is>
      </c>
      <c r="C47" s="2" t="inlineStr"/>
      <c r="D47" s="2" t="inlineStr">
        <is>
          <t>Learning, Climate</t>
        </is>
      </c>
      <c r="E47" s="2" t="inlineStr"/>
      <c r="F47" s="2">
        <f>HYPERLINK("https://www.developmentaid.org/tenders/view/1487761/assam-disaster-resilient-hill-area-roads-development-project-adrhardp-upgradation-and-4-year-mainten", "Apply")</f>
        <v/>
      </c>
    </row>
    <row r="48" ht="80" customHeight="1">
      <c r="A48" s="2" t="inlineStr">
        <is>
          <t>DevelopmentAid</t>
        </is>
      </c>
      <c r="B48" s="2" t="inlineStr">
        <is>
          <t>Assam Disaster Resilient Hill Area Roads Development Project (ADRHARDP): Upgradation and 4-year maintenance of Corridor-2:(Thongikro – Bonkhai – Kolaidisa – Khejurbond – Dehangi – New Sangbar – Umrongso – Khandong Section in Dima Hasao District): from Km 15+860 (near Girijanapur) to Km 30+700 (Semkhor) under the ADRHARDP,Pkg.5</t>
        </is>
      </c>
      <c r="C48" s="2" t="inlineStr"/>
      <c r="D48" s="2" t="inlineStr">
        <is>
          <t>Learning, Climate</t>
        </is>
      </c>
      <c r="E48" s="2" t="inlineStr"/>
      <c r="F48" s="2">
        <f>HYPERLINK("https://www.developmentaid.org/tenders/view/1487754/assam-disaster-resilient-hill-area-roads-development-project-adrhardp-upgradation-and-4-year-mainten", "Apply")</f>
        <v/>
      </c>
    </row>
    <row r="49" ht="80" customHeight="1">
      <c r="A49" s="2" t="inlineStr">
        <is>
          <t>DevelopmentAid</t>
        </is>
      </c>
      <c r="B49" s="2" t="inlineStr">
        <is>
          <t>55262-002 - Jharkhand Action for Generating Responsive and Inclusive Transformations in Health Infrastructure (JAGRITI)</t>
        </is>
      </c>
      <c r="C49" s="2" t="inlineStr"/>
      <c r="D49" s="2" t="inlineStr">
        <is>
          <t>Safety</t>
        </is>
      </c>
      <c r="E49" s="2" t="inlineStr"/>
      <c r="F49" s="2">
        <f>HYPERLINK("https://www.developmentaid.org/tenders/view/1591018/55262-002-jharkhand-action-for-generating-responsive-and-inclusive-transformations-in-health-infrast", "Apply")</f>
        <v/>
      </c>
    </row>
    <row r="50" ht="80" customHeight="1">
      <c r="A50" s="2" t="inlineStr">
        <is>
          <t>DevelopmentAid</t>
        </is>
      </c>
      <c r="B50" s="2" t="inlineStr">
        <is>
          <t>58363-001 - Tripura Renewable Energy Development and Integration Project</t>
        </is>
      </c>
      <c r="C50" s="2" t="inlineStr"/>
      <c r="D50" s="2" t="inlineStr">
        <is>
          <t>Learning, Climate</t>
        </is>
      </c>
      <c r="E50" s="2" t="inlineStr"/>
      <c r="F50" s="2">
        <f>HYPERLINK("https://www.developmentaid.org/tenders/view/1591008/58363-001-tripura-renewable-energy-development-and-integration-project", "Apply")</f>
        <v/>
      </c>
    </row>
    <row r="51" ht="80" customHeight="1">
      <c r="A51" s="2" t="inlineStr">
        <is>
          <t>DevelopmentAid</t>
        </is>
      </c>
      <c r="B51" s="2" t="inlineStr">
        <is>
          <t>59369-001 - Nagaland Hydropower Development Project</t>
        </is>
      </c>
      <c r="C51" s="2" t="inlineStr"/>
      <c r="D51" s="2" t="inlineStr">
        <is>
          <t>Learning</t>
        </is>
      </c>
      <c r="E51" s="2" t="inlineStr"/>
      <c r="F51" s="2">
        <f>HYPERLINK("https://www.developmentaid.org/tenders/view/1590979/59369-001-nagaland-hydropower-development-project", "Apply")</f>
        <v/>
      </c>
    </row>
    <row r="52" ht="80" customHeight="1">
      <c r="A52" s="2" t="inlineStr">
        <is>
          <t>DevelopmentAid</t>
        </is>
      </c>
      <c r="B52" s="2" t="inlineStr">
        <is>
          <t>RFP - Pedagogical Review of Multilingual Educational Content (25 languages)</t>
        </is>
      </c>
      <c r="C52" s="2" t="inlineStr"/>
      <c r="D52" s="2" t="inlineStr">
        <is>
          <t>Learning</t>
        </is>
      </c>
      <c r="E52" s="2" t="inlineStr"/>
      <c r="F52" s="2">
        <f>HYPERLINK("https://www.developmentaid.org/tenders/view/1590908/rfp-pedagogical-review-of-multilingual-educational-content-25-languages", "Apply")</f>
        <v/>
      </c>
    </row>
    <row r="53" ht="80" customHeight="1">
      <c r="A53" s="2" t="inlineStr">
        <is>
          <t>DevelopmentAid</t>
        </is>
      </c>
      <c r="B53" s="2" t="inlineStr">
        <is>
          <t>NDRWPL Equity - Commercial Property - Industrial</t>
        </is>
      </c>
      <c r="C53" s="2" t="inlineStr"/>
      <c r="D53" s="2" t="inlineStr">
        <is>
          <t>Safety</t>
        </is>
      </c>
      <c r="E53" s="2" t="inlineStr"/>
      <c r="F53" s="2">
        <f>HYPERLINK("https://www.developmentaid.org/tenders/view/1590828/ndrwpl-equity-commercial-property-industrial", "Apply")</f>
        <v/>
      </c>
    </row>
    <row r="54" ht="80" customHeight="1">
      <c r="A54" s="2" t="inlineStr">
        <is>
          <t>DevelopmentAid</t>
        </is>
      </c>
      <c r="B54" s="2" t="inlineStr">
        <is>
          <t>TA-10504 REG: Strengthening Knowledge and Capacity of Country Safeguard Systems and Private Sector Clients - Social Safeguard Specialist - International Grievance Redress Mechanism Capacity Building Specialist (58360-001)</t>
        </is>
      </c>
      <c r="C54" s="2" t="inlineStr"/>
      <c r="D54" s="2" t="inlineStr">
        <is>
          <t>Governance</t>
        </is>
      </c>
      <c r="E54" s="2" t="inlineStr"/>
      <c r="F54" s="2">
        <f>HYPERLINK("https://www.developmentaid.org/tenders/view/1590564/ta-10504-reg-strengthening-knowledge-and-capacity-of-country-safeguard-systems-and-private-sector-cl", "Apply")</f>
        <v/>
      </c>
    </row>
    <row r="55" ht="80" customHeight="1">
      <c r="A55" s="2" t="inlineStr">
        <is>
          <t>DevelopmentAid</t>
        </is>
      </c>
      <c r="B55" s="2" t="inlineStr">
        <is>
          <t>Strengthening Teaching-Learning And Results for States - P166868</t>
        </is>
      </c>
      <c r="C55" s="2" t="inlineStr"/>
      <c r="D55" s="2" t="inlineStr">
        <is>
          <t>Learning</t>
        </is>
      </c>
      <c r="E55" s="2" t="inlineStr"/>
      <c r="F55" s="2">
        <f>HYPERLINK("https://www.developmentaid.org/tenders/view/373491/strengthening-secondary-education-in-focus-states", "Apply")</f>
        <v/>
      </c>
    </row>
    <row r="56" ht="80" customHeight="1">
      <c r="A56" s="2" t="inlineStr">
        <is>
          <t>DevelopmentAid</t>
        </is>
      </c>
      <c r="B56" s="2" t="inlineStr">
        <is>
          <t>IP Orderly Migration for Ensuring Social Sustainability in Sugar Supply Chain</t>
        </is>
      </c>
      <c r="C56" s="2" t="inlineStr"/>
      <c r="D56" s="2" t="inlineStr">
        <is>
          <t>Climate</t>
        </is>
      </c>
      <c r="E56" s="2" t="inlineStr"/>
      <c r="F56" s="2">
        <f>HYPERLINK("https://www.developmentaid.org/tenders/view/1590669/ip-orderly-migration-for-ensuring-social-sustainability-in-sugar-supply-chain", "Apply")</f>
        <v/>
      </c>
    </row>
    <row r="57" ht="80" customHeight="1">
      <c r="A57" s="2" t="inlineStr">
        <is>
          <t>DevelopmentAid</t>
        </is>
      </c>
      <c r="B57" s="2" t="inlineStr">
        <is>
          <t>Terms of Reference (TOR) Energy for Health – Launch Video &amp; Photo Documentation Sikkim, Nagaland &amp; Manipur</t>
        </is>
      </c>
      <c r="C57" s="2" t="inlineStr"/>
      <c r="D57" s="2" t="inlineStr">
        <is>
          <t>Safety, Climate</t>
        </is>
      </c>
      <c r="E57" s="2" t="inlineStr"/>
      <c r="F57" s="2">
        <f>HYPERLINK("https://www.developmentaid.org/tenders/view/1590543/terms-of-reference-tor-energy-for-health-launch-video-photo-documentation-sikkim-nagaland-manipur", "Apply")</f>
        <v/>
      </c>
    </row>
    <row r="58" ht="80" customHeight="1">
      <c r="A58" s="2" t="inlineStr">
        <is>
          <t>DevelopmentAid</t>
        </is>
      </c>
      <c r="B58" s="2" t="inlineStr">
        <is>
          <t>Terms of Reference (TOR) Energy for Health &amp; Livelihoods – Video &amp; Photo Documentation Arunachal Pradesh</t>
        </is>
      </c>
      <c r="C58" s="2" t="inlineStr"/>
      <c r="D58" s="2" t="inlineStr">
        <is>
          <t>Safety, Climate</t>
        </is>
      </c>
      <c r="E58" s="2" t="inlineStr"/>
      <c r="F58" s="2">
        <f>HYPERLINK("https://www.developmentaid.org/tenders/view/1590545/terms-of-reference-tor-energy-for-health-livelihoods-video-photo-documentation-arunachal-pradesh", "Apply")</f>
        <v/>
      </c>
    </row>
    <row r="59" ht="80" customHeight="1">
      <c r="A59" s="2" t="inlineStr">
        <is>
          <t>DevelopmentAid</t>
        </is>
      </c>
      <c r="B59" s="2" t="inlineStr">
        <is>
          <t>Provision of South Asia and Afghanistan Practitioner Level Core Curriculum for the FCDO International Academy</t>
        </is>
      </c>
      <c r="C59" s="2" t="inlineStr"/>
      <c r="D59" s="2" t="inlineStr">
        <is>
          <t>Learning</t>
        </is>
      </c>
      <c r="E59" s="2" t="inlineStr"/>
      <c r="F59" s="2">
        <f>HYPERLINK("https://www.developmentaid.org/tenders/view/1590549/provision-of-south-asia-and-afghanistan-practitioner-level-core-curriculum-for-the-fcdo-internationa", "Apply")</f>
        <v/>
      </c>
    </row>
    <row r="60" ht="80" customHeight="1">
      <c r="A60" s="2" t="inlineStr">
        <is>
          <t>DevelopmentAid</t>
        </is>
      </c>
      <c r="B60" s="2" t="inlineStr">
        <is>
          <t>RFQ - for restoration and retrofitting of WASH infrastructure in five schools located in Taluka Ambegaon, Pune District</t>
        </is>
      </c>
      <c r="C60" s="2" t="inlineStr"/>
      <c r="D60" s="2" t="inlineStr">
        <is>
          <t>Learning, Safety</t>
        </is>
      </c>
      <c r="E60" s="2" t="inlineStr"/>
      <c r="F60" s="2">
        <f>HYPERLINK("https://www.developmentaid.org/tenders/view/1590489/rfq-for-restoration-and-retrofitting-of-wash-infrastructure-in-five-schools-located-in-taluka-ambega", "Apply")</f>
        <v/>
      </c>
    </row>
    <row r="61" ht="80" customHeight="1">
      <c r="A61" s="2" t="inlineStr">
        <is>
          <t>DevelopmentAid</t>
        </is>
      </c>
      <c r="B61" s="2" t="inlineStr">
        <is>
          <t>Food security in Canada and Sri Lanka</t>
        </is>
      </c>
      <c r="C61" s="2" t="inlineStr"/>
      <c r="D61" s="2" t="inlineStr">
        <is>
          <t>Safety</t>
        </is>
      </c>
      <c r="E61" s="2" t="inlineStr"/>
      <c r="F61" s="2">
        <f>HYPERLINK("https://www.developmentaid.org/tenders/view/1590272/food-security-in-canada-and-sri-lanka", "Apply")</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2026-01-09T11:25:34Z</dcterms:created>
  <dcterms:modified xmlns:dcterms="http://purl.org/dc/terms/" xmlns:xsi="http://www.w3.org/2001/XMLSchema-instance" xsi:type="dcterms:W3CDTF">2026-01-09T11:25:34Z</dcterms:modified>
</cp:coreProperties>
</file>